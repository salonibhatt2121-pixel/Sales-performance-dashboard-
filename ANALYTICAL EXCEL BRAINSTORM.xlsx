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rman\Downloads\"/>
    </mc:Choice>
  </mc:AlternateContent>
  <xr:revisionPtr revIDLastSave="0" documentId="13_ncr:1_{32CFAE7A-5835-4228-BFE8-9185AD30A657}" xr6:coauthVersionLast="47" xr6:coauthVersionMax="47" xr10:uidLastSave="{00000000-0000-0000-0000-000000000000}"/>
  <bookViews>
    <workbookView xWindow="-108" yWindow="-108" windowWidth="23256" windowHeight="12456" xr2:uid="{081C229A-B407-46EF-9776-719E7CBCEB8C}"/>
  </bookViews>
  <sheets>
    <sheet name="PLAY WITH NAMES" sheetId="2" r:id="rId1"/>
    <sheet name="AVERAGE MARKS CALCULATE" sheetId="22" r:id="rId2"/>
    <sheet name="ALPHABET SPLIT" sheetId="5" r:id="rId3"/>
    <sheet name="BASE DATA" sheetId="23" r:id="rId4"/>
    <sheet name="STATE WISE DATA EXTRACT" sheetId="24" r:id="rId5"/>
    <sheet name=" IPL" sheetId="3" r:id="rId6"/>
    <sheet name="ALPHABET COUNT" sheetId="6" r:id="rId7"/>
    <sheet name="UPPERCASE &amp; LOWERCASE" sheetId="7" r:id="rId8"/>
    <sheet name="QUOTES OF THE DAY" sheetId="9" r:id="rId9"/>
    <sheet name="PRODUCT WISE TOTAL SALES" sheetId="10" r:id="rId10"/>
    <sheet name="FREQUENCY COUNT" sheetId="14" r:id="rId11"/>
    <sheet name="NO CONVERSION SUM" sheetId="13" r:id="rId12"/>
    <sheet name="HIGHEST TO LOWERST PERCENTAGE" sheetId="12" r:id="rId13"/>
    <sheet name="AGGREGATE EMPLOYEE DETAILS" sheetId="8" r:id="rId14"/>
    <sheet name="MONTHLY LOOKUP" sheetId="15" r:id="rId15"/>
    <sheet name="TOP 3 SALES HEAD" sheetId="4" r:id="rId16"/>
    <sheet name="GET ORDER DETAILS" sheetId="1" r:id="rId17"/>
    <sheet name="GET DEPARTMENT" sheetId="11" r:id="rId18"/>
    <sheet name="SALES BETWEEN NAMES" sheetId="17" r:id="rId19"/>
    <sheet name="FIND MISSING NUMBERS" sheetId="18" r:id="rId20"/>
    <sheet name="ALPHABETICAL NAME EXTRACTION" sheetId="19" r:id="rId21"/>
    <sheet name="PROJECT DURATION HIGHLIGHT" sheetId="20" r:id="rId22"/>
    <sheet name="DYNAMIC FORMATTING " sheetId="21" r:id="rId23"/>
    <sheet name="COLOR COMBO" sheetId="16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2" l="1" a="1"/>
  <c r="I12" i="2" s="1"/>
  <c r="I13" i="2" a="1"/>
  <c r="I13" i="2"/>
  <c r="I14" i="2" a="1"/>
  <c r="I14" i="2"/>
  <c r="I15" i="2" a="1"/>
  <c r="I15" i="2" s="1"/>
  <c r="I16" i="2" a="1"/>
  <c r="I16" i="2"/>
  <c r="I17" i="2" a="1"/>
  <c r="I17" i="2"/>
  <c r="I8" i="2" a="1"/>
  <c r="I8" i="2" s="1"/>
  <c r="I3" i="2" a="1"/>
  <c r="I3" i="2"/>
  <c r="G12" i="2" a="1"/>
  <c r="G12" i="2" s="1"/>
  <c r="H13" i="2" a="1"/>
  <c r="H13" i="2"/>
  <c r="H14" i="2" a="1"/>
  <c r="H14" i="2"/>
  <c r="H15" i="2" a="1"/>
  <c r="H15" i="2" s="1"/>
  <c r="H16" i="2" a="1"/>
  <c r="H16" i="2"/>
  <c r="H17" i="2" a="1"/>
  <c r="H17" i="2"/>
  <c r="H12" i="2" a="1"/>
  <c r="H12" i="2" s="1"/>
  <c r="H3" i="2" a="1"/>
  <c r="H3" i="2" s="1"/>
  <c r="G13" i="2" a="1"/>
  <c r="G13" i="2"/>
  <c r="G14" i="2" a="1"/>
  <c r="G14" i="2"/>
  <c r="G15" i="2" a="1"/>
  <c r="G15" i="2" s="1"/>
  <c r="G16" i="2" a="1"/>
  <c r="G16" i="2"/>
  <c r="G17" i="2" a="1"/>
  <c r="G17" i="2"/>
  <c r="I4" i="2" a="1"/>
  <c r="I4" i="2"/>
  <c r="I5" i="2" a="1"/>
  <c r="I5" i="2"/>
  <c r="I6" i="2" a="1"/>
  <c r="I6" i="2"/>
  <c r="I7" i="2" a="1"/>
  <c r="I7" i="2"/>
  <c r="H8" i="2" a="1"/>
  <c r="H8" i="2" s="1"/>
  <c r="H4" i="2" a="1"/>
  <c r="H4" i="2"/>
  <c r="H5" i="2" a="1"/>
  <c r="H5" i="2"/>
  <c r="H6" i="2" a="1"/>
  <c r="H6" i="2" s="1"/>
  <c r="H7" i="2" a="1"/>
  <c r="H7" i="2"/>
  <c r="D14" i="2" a="1"/>
  <c r="D14" i="2"/>
  <c r="D15" i="2" a="1"/>
  <c r="D15" i="2"/>
  <c r="D16" i="2" a="1"/>
  <c r="D16" i="2"/>
  <c r="D17" i="2" a="1"/>
  <c r="D17" i="2"/>
  <c r="D13" i="2" a="1"/>
  <c r="D13" i="2" s="1"/>
  <c r="D12" i="2" a="1"/>
  <c r="D12" i="2" s="1"/>
  <c r="C14" i="2" a="1"/>
  <c r="C14" i="2"/>
  <c r="C15" i="2" a="1"/>
  <c r="C15" i="2"/>
  <c r="C16" i="2" a="1"/>
  <c r="C16" i="2"/>
  <c r="C17" i="2" a="1"/>
  <c r="C17" i="2"/>
  <c r="C13" i="2" a="1"/>
  <c r="C13" i="2"/>
  <c r="C12" i="2" a="1"/>
  <c r="C12" i="2" s="1"/>
  <c r="B14" i="2" a="1"/>
  <c r="B14" i="2"/>
  <c r="B15" i="2" a="1"/>
  <c r="B15" i="2"/>
  <c r="B16" i="2" a="1"/>
  <c r="B16" i="2" s="1"/>
  <c r="B17" i="2" a="1"/>
  <c r="B17" i="2"/>
  <c r="B13" i="2" a="1"/>
  <c r="B13" i="2" s="1"/>
  <c r="E6" i="4"/>
  <c r="E7" i="4"/>
  <c r="E5" i="4"/>
  <c r="D6" i="4" a="1"/>
  <c r="D6" i="4"/>
  <c r="D7" i="4" a="1"/>
  <c r="D7" i="4"/>
  <c r="D5" i="4" a="1"/>
  <c r="D5" i="4" s="1"/>
  <c r="E12" i="4" a="1"/>
  <c r="E12" i="4"/>
  <c r="E13" i="4" a="1"/>
  <c r="E13" i="4"/>
  <c r="E11" i="4" a="1"/>
  <c r="E11" i="4" s="1"/>
  <c r="Q15" i="15" a="1"/>
  <c r="Q15" i="15"/>
  <c r="Q16" i="15" a="1"/>
  <c r="Q16" i="15"/>
  <c r="Q17" i="15" a="1"/>
  <c r="Q17" i="15"/>
  <c r="Q18" i="15" a="1"/>
  <c r="Q18" i="15"/>
  <c r="Q19" i="15" a="1"/>
  <c r="Q19" i="15"/>
  <c r="Q20" i="15" a="1"/>
  <c r="Q20" i="15"/>
  <c r="Q21" i="15" a="1"/>
  <c r="Q21" i="15"/>
  <c r="Q22" i="15" a="1"/>
  <c r="Q22" i="15"/>
  <c r="Q23" i="15" a="1"/>
  <c r="Q23" i="15"/>
  <c r="Q14" i="15" a="1"/>
  <c r="Q14" i="15" s="1"/>
  <c r="Q2" i="15" a="1"/>
  <c r="Q2" i="15"/>
  <c r="Q3" i="15" a="1"/>
  <c r="Q3" i="15"/>
  <c r="Q4" i="15" a="1"/>
  <c r="Q4" i="15" s="1"/>
  <c r="Q5" i="15" a="1"/>
  <c r="Q5" i="15"/>
  <c r="Q6" i="15" a="1"/>
  <c r="Q6" i="15"/>
  <c r="Q7" i="15" a="1"/>
  <c r="Q7" i="15" s="1"/>
  <c r="Q8" i="15" a="1"/>
  <c r="Q8" i="15"/>
  <c r="Q9" i="15" a="1"/>
  <c r="Q9" i="15"/>
  <c r="Q10" i="15" a="1"/>
  <c r="Q10" i="15" s="1"/>
  <c r="Q11" i="15" a="1"/>
  <c r="Q11" i="15"/>
  <c r="E12" i="8" a="1"/>
  <c r="E12" i="8" s="1"/>
  <c r="F12" i="8" a="1"/>
  <c r="F12" i="8"/>
  <c r="E13" i="8" a="1"/>
  <c r="E13" i="8"/>
  <c r="F13" i="8" a="1"/>
  <c r="F13" i="8" s="1"/>
  <c r="E14" i="8" a="1"/>
  <c r="E14" i="8"/>
  <c r="F14" i="8" a="1"/>
  <c r="F14" i="8"/>
  <c r="E15" i="8" a="1"/>
  <c r="E15" i="8" s="1"/>
  <c r="F15" i="8" a="1"/>
  <c r="F15" i="8"/>
  <c r="E16" i="8" a="1"/>
  <c r="E16" i="8"/>
  <c r="F16" i="8" a="1"/>
  <c r="F16" i="8" s="1"/>
  <c r="E17" i="8" a="1"/>
  <c r="E17" i="8"/>
  <c r="F17" i="8" a="1"/>
  <c r="F17" i="8"/>
  <c r="E18" i="8" a="1"/>
  <c r="E18" i="8" s="1"/>
  <c r="F18" i="8" a="1"/>
  <c r="F18" i="8" s="1"/>
  <c r="D13" i="8" a="1"/>
  <c r="D13" i="8"/>
  <c r="D14" i="8" a="1"/>
  <c r="D14" i="8"/>
  <c r="D15" i="8" a="1"/>
  <c r="D15" i="8"/>
  <c r="D16" i="8" a="1"/>
  <c r="D16" i="8"/>
  <c r="D17" i="8" a="1"/>
  <c r="D17" i="8"/>
  <c r="D18" i="8" a="1"/>
  <c r="D18" i="8"/>
  <c r="D12" i="8" a="1"/>
  <c r="D12" i="8" s="1"/>
  <c r="A12" i="9" l="1"/>
  <c r="AA2" i="3"/>
  <c r="P9" i="22"/>
  <c r="P9" i="22" a="1"/>
  <c r="N9" i="22"/>
  <c r="N9" i="22" a="1"/>
  <c r="B12" i="2"/>
  <c r="G8" i="2"/>
  <c r="G8" i="2" a="1"/>
  <c r="G7" i="2"/>
  <c r="G7" i="2" a="1"/>
  <c r="G6" i="2"/>
  <c r="G6" i="2" a="1"/>
  <c r="G5" i="2"/>
  <c r="G5" i="2" a="1"/>
  <c r="G4" i="2"/>
  <c r="G4" i="2" a="1"/>
  <c r="G3" i="2"/>
  <c r="G3" i="2" a="1"/>
  <c r="C3" i="5" a="1"/>
  <c r="U3" i="5" a="1"/>
  <c r="N4" i="5" a="1"/>
  <c r="G5" i="5" a="1"/>
  <c r="Y5" i="5" a="1"/>
  <c r="R6" i="5" a="1"/>
  <c r="K7" i="5" a="1"/>
  <c r="D8" i="5" a="1"/>
  <c r="V8" i="5" a="1"/>
  <c r="O9" i="5" a="1"/>
  <c r="H10" i="5" a="1"/>
  <c r="Z10" i="5" a="1"/>
  <c r="S11" i="5" a="1"/>
  <c r="L12" i="5" a="1"/>
  <c r="E13" i="5" a="1"/>
  <c r="W13" i="5" a="1"/>
  <c r="P14" i="5" a="1"/>
  <c r="I15" i="5" a="1"/>
  <c r="AA15" i="5" a="1"/>
  <c r="T16" i="5" a="1"/>
  <c r="M17" i="5" a="1"/>
  <c r="F18" i="5" a="1"/>
  <c r="Y4" i="5" a="1"/>
  <c r="D7" i="5" a="1"/>
  <c r="H9" i="5" a="1"/>
  <c r="L11" i="5" a="1"/>
  <c r="P13" i="5" a="1"/>
  <c r="T15" i="5" a="1"/>
  <c r="X17" i="5" a="1"/>
  <c r="V4" i="5" a="1"/>
  <c r="Z6" i="5" a="1"/>
  <c r="E9" i="5" a="1"/>
  <c r="I11" i="5" a="1"/>
  <c r="M13" i="5" a="1"/>
  <c r="U4" i="5" a="1"/>
  <c r="R8" i="5" a="1"/>
  <c r="H11" i="5" a="1"/>
  <c r="D15" i="5" a="1"/>
  <c r="W17" i="5" a="1"/>
  <c r="T3" i="5" a="1"/>
  <c r="J6" i="5" a="1"/>
  <c r="G6" i="5" a="1"/>
  <c r="C10" i="5" a="1"/>
  <c r="L14" i="5" a="1"/>
  <c r="H18" i="5" a="1"/>
  <c r="G7" i="5" a="1"/>
  <c r="X10" i="5" a="1"/>
  <c r="L5" i="5" a="1"/>
  <c r="U10" i="5" a="1"/>
  <c r="L16" i="5" a="1"/>
  <c r="V18" i="5" a="1"/>
  <c r="AA5" i="5" a="1"/>
  <c r="V12" i="5" a="1"/>
  <c r="Z14" i="5" a="1"/>
  <c r="Y16" i="5" a="1"/>
  <c r="Q8" i="5" a="1"/>
  <c r="U14" i="5" a="1"/>
  <c r="M18" i="5" a="1"/>
  <c r="G10" i="5" a="1"/>
  <c r="V13" i="5" a="1"/>
  <c r="U16" i="5" a="1"/>
  <c r="F5" i="5" a="1"/>
  <c r="J18" i="5" a="1"/>
  <c r="Q9" i="5" a="1"/>
  <c r="I17" i="5" a="1"/>
  <c r="J13" i="5" a="1"/>
  <c r="O14" i="5" a="1"/>
  <c r="B10" i="5" a="1"/>
  <c r="B14" i="5" a="1"/>
  <c r="B18" i="5" a="1"/>
  <c r="F3" i="5" a="1"/>
  <c r="X3" i="5" a="1"/>
  <c r="Q4" i="5" a="1"/>
  <c r="J5" i="5" a="1"/>
  <c r="C6" i="5" a="1"/>
  <c r="U6" i="5" a="1"/>
  <c r="N7" i="5" a="1"/>
  <c r="G8" i="5" a="1"/>
  <c r="Y8" i="5" a="1"/>
  <c r="R9" i="5" a="1"/>
  <c r="K10" i="5" a="1"/>
  <c r="D11" i="5" a="1"/>
  <c r="V11" i="5" a="1"/>
  <c r="O12" i="5" a="1"/>
  <c r="H13" i="5" a="1"/>
  <c r="Z13" i="5" a="1"/>
  <c r="S14" i="5" a="1"/>
  <c r="L15" i="5" a="1"/>
  <c r="E16" i="5" a="1"/>
  <c r="W16" i="5" a="1"/>
  <c r="P17" i="5" a="1"/>
  <c r="G3" i="5" a="1"/>
  <c r="K5" i="5" a="1"/>
  <c r="O7" i="5" a="1"/>
  <c r="S9" i="5" a="1"/>
  <c r="W11" i="5" a="1"/>
  <c r="AA13" i="5" a="1"/>
  <c r="F16" i="5" a="1"/>
  <c r="D3" i="5" a="1"/>
  <c r="H5" i="5" a="1"/>
  <c r="L7" i="5" a="1"/>
  <c r="P9" i="5" a="1"/>
  <c r="T11" i="5" a="1"/>
  <c r="X13" i="5" a="1"/>
  <c r="AA4" i="5" a="1"/>
  <c r="X8" i="5" a="1"/>
  <c r="N11" i="5" a="1"/>
  <c r="H15" i="5" a="1"/>
  <c r="AA17" i="5" a="1"/>
  <c r="Z3" i="5" a="1"/>
  <c r="P6" i="5" a="1"/>
  <c r="M7" i="5" a="1"/>
  <c r="O10" i="5" a="1"/>
  <c r="E15" i="5" a="1"/>
  <c r="L18" i="5" a="1"/>
  <c r="AA7" i="5" a="1"/>
  <c r="K11" i="5" a="1"/>
  <c r="W5" i="5" a="1"/>
  <c r="O11" i="5" a="1"/>
  <c r="E17" i="5" a="1"/>
  <c r="E3" i="5" a="1"/>
  <c r="M6" i="5" a="1"/>
  <c r="D13" i="5" a="1"/>
  <c r="G15" i="5" a="1"/>
  <c r="Q18" i="5" a="1"/>
  <c r="K9" i="5" a="1"/>
  <c r="N15" i="5" a="1"/>
  <c r="O3" i="5" a="1"/>
  <c r="T4" i="5" a="1"/>
  <c r="S5" i="5" a="1"/>
  <c r="X6" i="5" a="1"/>
  <c r="W7" i="5" a="1"/>
  <c r="C9" i="5" a="1"/>
  <c r="AA9" i="5" a="1"/>
  <c r="G11" i="5" a="1"/>
  <c r="F12" i="5" a="1"/>
  <c r="K13" i="5" a="1"/>
  <c r="J14" i="5" a="1"/>
  <c r="O15" i="5" a="1"/>
  <c r="N16" i="5" a="1"/>
  <c r="S17" i="5" a="1"/>
  <c r="G4" i="5" a="1"/>
  <c r="V7" i="5" a="1"/>
  <c r="S10" i="5" a="1"/>
  <c r="I14" i="5" a="1"/>
  <c r="F17" i="5" a="1"/>
  <c r="O5" i="5" a="1"/>
  <c r="L8" i="5" a="1"/>
  <c r="AA11" i="5" a="1"/>
  <c r="J4" i="5" a="1"/>
  <c r="D9" i="5" a="1"/>
  <c r="L13" i="5" a="1"/>
  <c r="G18" i="5" a="1"/>
  <c r="X5" i="5" a="1"/>
  <c r="Y7" i="5" a="1"/>
  <c r="K12" i="5" a="1"/>
  <c r="S3" i="5" a="1"/>
  <c r="V9" i="5" a="1"/>
  <c r="W6" i="5" a="1"/>
  <c r="S13" i="5" a="1"/>
  <c r="P3" i="5" a="1"/>
  <c r="D10" i="5" a="1"/>
  <c r="S15" i="5" a="1"/>
  <c r="C7" i="5" a="1"/>
  <c r="H17" i="5" a="1"/>
  <c r="T5" i="5" a="1"/>
  <c r="Y12" i="5" a="1"/>
  <c r="O16" i="5" a="1"/>
  <c r="P7" i="5" a="1"/>
  <c r="U5" i="5" a="1"/>
  <c r="O18" i="5" a="1"/>
  <c r="F11" i="5" a="1"/>
  <c r="Q12" i="5" a="1"/>
  <c r="B13" i="5" a="1"/>
  <c r="B6" i="5" a="1"/>
  <c r="R3" i="5" a="1"/>
  <c r="W4" i="5" a="1"/>
  <c r="V5" i="5" a="1"/>
  <c r="AA6" i="5" a="1"/>
  <c r="Z7" i="5" a="1"/>
  <c r="F9" i="5" a="1"/>
  <c r="E10" i="5" a="1"/>
  <c r="J11" i="5" a="1"/>
  <c r="I12" i="5" a="1"/>
  <c r="N13" i="5" a="1"/>
  <c r="M14" i="5" a="1"/>
  <c r="R15" i="5" a="1"/>
  <c r="Q16" i="5" a="1"/>
  <c r="V17" i="5" a="1"/>
  <c r="R4" i="5" a="1"/>
  <c r="H8" i="5" a="1"/>
  <c r="E11" i="5" a="1"/>
  <c r="T14" i="5" a="1"/>
  <c r="Q17" i="5" a="1"/>
  <c r="Z5" i="5" a="1"/>
  <c r="W8" i="5" a="1"/>
  <c r="M12" i="5" a="1"/>
  <c r="P4" i="5" a="1"/>
  <c r="J9" i="5" a="1"/>
  <c r="R13" i="5" a="1"/>
  <c r="N18" i="5" a="1"/>
  <c r="E6" i="5" a="1"/>
  <c r="N8" i="5" a="1"/>
  <c r="Y13" i="5" a="1"/>
  <c r="S4" i="5" a="1"/>
  <c r="J10" i="5" a="1"/>
  <c r="R7" i="5" a="1"/>
  <c r="X14" i="5" a="1"/>
  <c r="C4" i="5" a="1"/>
  <c r="R11" i="5" a="1"/>
  <c r="Y15" i="5" a="1"/>
  <c r="F8" i="5" a="1"/>
  <c r="N17" i="5" a="1"/>
  <c r="X7" i="5" a="1"/>
  <c r="O13" i="5" a="1"/>
  <c r="C17" i="5" a="1"/>
  <c r="C8" i="5" a="1"/>
  <c r="P15" i="5" a="1"/>
  <c r="W3" i="5" a="1"/>
  <c r="H12" i="5" a="1"/>
  <c r="J15" i="5" a="1"/>
  <c r="B16" i="5" a="1"/>
  <c r="B9" i="5" a="1"/>
  <c r="AA3" i="5" a="1"/>
  <c r="Z4" i="5" a="1"/>
  <c r="F6" i="5" a="1"/>
  <c r="E7" i="5" a="1"/>
  <c r="J8" i="5" a="1"/>
  <c r="I9" i="5" a="1"/>
  <c r="N10" i="5" a="1"/>
  <c r="M11" i="5" a="1"/>
  <c r="R12" i="5" a="1"/>
  <c r="Q13" i="5" a="1"/>
  <c r="V14" i="5" a="1"/>
  <c r="U15" i="5" a="1"/>
  <c r="Z16" i="5" a="1"/>
  <c r="Y17" i="5" a="1"/>
  <c r="R5" i="5" a="1"/>
  <c r="O8" i="5" a="1"/>
  <c r="E12" i="5" a="1"/>
  <c r="AA14" i="5" a="1"/>
  <c r="K3" i="5" a="1"/>
  <c r="H6" i="5" a="1"/>
  <c r="W9" i="5" a="1"/>
  <c r="T12" i="5" a="1"/>
  <c r="N6" i="5" a="1"/>
  <c r="V10" i="5" a="1"/>
  <c r="Q15" i="5" a="1"/>
  <c r="U18" i="5" a="1"/>
  <c r="J3" i="5" a="1"/>
  <c r="AA8" i="5" a="1"/>
  <c r="Z15" i="5" a="1"/>
  <c r="Q5" i="5" a="1"/>
  <c r="X11" i="5" a="1"/>
  <c r="G9" i="5" a="1"/>
  <c r="R17" i="5" a="1"/>
  <c r="C5" i="5" a="1"/>
  <c r="U13" i="5" a="1"/>
  <c r="G16" i="5" a="1"/>
  <c r="T9" i="5" a="1"/>
  <c r="T17" i="5" a="1"/>
  <c r="M9" i="5" a="1"/>
  <c r="E14" i="5" a="1"/>
  <c r="O17" i="5" a="1"/>
  <c r="S12" i="5" a="1"/>
  <c r="J16" i="5" a="1"/>
  <c r="T8" i="5" a="1"/>
  <c r="H14" i="5" a="1"/>
  <c r="I18" i="5" a="1"/>
  <c r="B5" i="5" a="1"/>
  <c r="B12" i="5" a="1"/>
  <c r="E4" i="5" a="1"/>
  <c r="D5" i="5" a="1"/>
  <c r="I6" i="5" a="1"/>
  <c r="H7" i="5" a="1"/>
  <c r="M8" i="5" a="1"/>
  <c r="L9" i="5" a="1"/>
  <c r="Q10" i="5" a="1"/>
  <c r="P11" i="5" a="1"/>
  <c r="U12" i="5" a="1"/>
  <c r="T13" i="5" a="1"/>
  <c r="Y14" i="5" a="1"/>
  <c r="X15" i="5" a="1"/>
  <c r="D17" i="5" a="1"/>
  <c r="C18" i="5" a="1"/>
  <c r="D6" i="5" a="1"/>
  <c r="Z8" i="5" a="1"/>
  <c r="P12" i="5" a="1"/>
  <c r="M15" i="5" a="1"/>
  <c r="V3" i="5" a="1"/>
  <c r="S6" i="5" a="1"/>
  <c r="I10" i="5" a="1"/>
  <c r="F13" i="5" a="1"/>
  <c r="T6" i="5" a="1"/>
  <c r="C11" i="5" a="1"/>
  <c r="I16" i="5" a="1"/>
  <c r="Y18" i="5" a="1"/>
  <c r="Q3" i="5" a="1"/>
  <c r="N9" i="5" a="1"/>
  <c r="P16" i="5" a="1"/>
  <c r="Q6" i="5" a="1"/>
  <c r="M3" i="5" a="1"/>
  <c r="M10" i="5" a="1"/>
  <c r="E18" i="5" a="1"/>
  <c r="N5" i="5" a="1"/>
  <c r="C14" i="5" a="1"/>
  <c r="S16" i="5" a="1"/>
  <c r="F10" i="5" a="1"/>
  <c r="Z17" i="5" a="1"/>
  <c r="R10" i="5" a="1"/>
  <c r="N14" i="5" a="1"/>
  <c r="U17" i="5" a="1"/>
  <c r="K15" i="5" a="1"/>
  <c r="K8" i="5" a="1"/>
  <c r="D18" i="5" a="1"/>
  <c r="W15" i="5" a="1"/>
  <c r="X18" i="5" a="1"/>
  <c r="B8" i="5" a="1"/>
  <c r="B15" i="5" a="1"/>
  <c r="I3" i="5" a="1"/>
  <c r="H4" i="5" a="1"/>
  <c r="M5" i="5" a="1"/>
  <c r="L6" i="5" a="1"/>
  <c r="Q7" i="5" a="1"/>
  <c r="P8" i="5" a="1"/>
  <c r="U9" i="5" a="1"/>
  <c r="T10" i="5" a="1"/>
  <c r="Y11" i="5" a="1"/>
  <c r="X12" i="5" a="1"/>
  <c r="D14" i="5" a="1"/>
  <c r="C15" i="5" a="1"/>
  <c r="H16" i="5" a="1"/>
  <c r="G17" i="5" a="1"/>
  <c r="N3" i="5" a="1"/>
  <c r="K6" i="5" a="1"/>
  <c r="Z9" i="5" a="1"/>
  <c r="W12" i="5" a="1"/>
  <c r="M16" i="5" a="1"/>
  <c r="D4" i="5" a="1"/>
  <c r="S7" i="5" a="1"/>
  <c r="P10" i="5" a="1"/>
  <c r="F14" i="5" a="1"/>
  <c r="Y6" i="5" a="1"/>
  <c r="Z12" i="5" a="1"/>
  <c r="R16" i="5" a="1"/>
  <c r="F4" i="5" a="1"/>
  <c r="I4" i="5" a="1"/>
  <c r="Q11" i="5" a="1"/>
  <c r="AA16" i="5" a="1"/>
  <c r="I8" i="5" a="1"/>
  <c r="M4" i="5" a="1"/>
  <c r="Z11" i="5" a="1"/>
  <c r="K18" i="5" a="1"/>
  <c r="J7" i="5" a="1"/>
  <c r="K14" i="5" a="1"/>
  <c r="AA18" i="5" a="1"/>
  <c r="Y10" i="5" a="1"/>
  <c r="R18" i="5" a="1"/>
  <c r="U11" i="5" a="1"/>
  <c r="V15" i="5" a="1"/>
  <c r="S18" i="5" a="1"/>
  <c r="D16" i="5" a="1"/>
  <c r="C13" i="5" a="1"/>
  <c r="I7" i="5" a="1"/>
  <c r="K17" i="5" a="1"/>
  <c r="B4" i="5" a="1"/>
  <c r="B11" i="5" a="1"/>
  <c r="B3" i="5" a="1"/>
  <c r="L3" i="5" a="1"/>
  <c r="K4" i="5" a="1"/>
  <c r="P5" i="5" a="1"/>
  <c r="O6" i="5" a="1"/>
  <c r="T7" i="5" a="1"/>
  <c r="S8" i="5" a="1"/>
  <c r="X9" i="5" a="1"/>
  <c r="W10" i="5" a="1"/>
  <c r="C12" i="5" a="1"/>
  <c r="AA12" i="5" a="1"/>
  <c r="G14" i="5" a="1"/>
  <c r="F15" i="5" a="1"/>
  <c r="K16" i="5" a="1"/>
  <c r="J17" i="5" a="1"/>
  <c r="Y3" i="5" a="1"/>
  <c r="E8" i="5" a="1"/>
  <c r="L4" i="5" a="1"/>
  <c r="J12" i="5" a="1"/>
  <c r="W18" i="5" a="1"/>
  <c r="Y9" i="5" a="1"/>
  <c r="V6" i="5" a="1"/>
  <c r="AA10" i="5" a="1"/>
  <c r="I5" i="5" a="1"/>
  <c r="P18" i="5" a="1"/>
  <c r="G12" i="5" a="1"/>
  <c r="T18" i="5" a="1"/>
  <c r="L10" i="5" a="1"/>
  <c r="Q14" i="5" a="1"/>
  <c r="D12" i="5" a="1"/>
  <c r="U7" i="5" a="1"/>
  <c r="C16" i="5" a="1"/>
  <c r="B7" i="5" a="1"/>
  <c r="I13" i="5" a="1"/>
  <c r="F7" i="5" a="1"/>
  <c r="L17" i="5" a="1"/>
  <c r="R14" i="5" a="1"/>
  <c r="H3" i="5" a="1"/>
  <c r="B17" i="5" a="1"/>
  <c r="X16" i="5" a="1"/>
  <c r="G13" i="5" a="1"/>
  <c r="U8" i="5" a="1"/>
  <c r="E5" i="5" a="1"/>
  <c r="Z18" i="5" a="1"/>
  <c r="O4" i="5" a="1"/>
  <c r="V16" i="5" a="1"/>
  <c r="X4" i="5" a="1"/>
  <c r="N12" i="5" a="1"/>
  <c r="W14" i="5" a="1"/>
  <c r="AL5" i="17" a="1"/>
  <c r="P3" i="22" a="1"/>
  <c r="N3" i="22" a="1"/>
  <c r="W14" i="5" l="1"/>
  <c r="N12" i="5"/>
  <c r="X4" i="5"/>
  <c r="V16" i="5"/>
  <c r="O4" i="5"/>
  <c r="Z18" i="5"/>
  <c r="E5" i="5"/>
  <c r="U8" i="5"/>
  <c r="G13" i="5"/>
  <c r="X16" i="5"/>
  <c r="B17" i="5"/>
  <c r="H3" i="5"/>
  <c r="R14" i="5"/>
  <c r="L17" i="5"/>
  <c r="F7" i="5"/>
  <c r="I13" i="5"/>
  <c r="B7" i="5"/>
  <c r="C16" i="5"/>
  <c r="U7" i="5"/>
  <c r="D12" i="5"/>
  <c r="Q14" i="5"/>
  <c r="L10" i="5"/>
  <c r="T18" i="5"/>
  <c r="G12" i="5"/>
  <c r="P18" i="5"/>
  <c r="I5" i="5"/>
  <c r="AA10" i="5"/>
  <c r="V6" i="5"/>
  <c r="Y9" i="5"/>
  <c r="W18" i="5"/>
  <c r="J12" i="5"/>
  <c r="L4" i="5"/>
  <c r="E8" i="5"/>
  <c r="Y3" i="5"/>
  <c r="J17" i="5"/>
  <c r="K16" i="5"/>
  <c r="F15" i="5"/>
  <c r="G14" i="5"/>
  <c r="AA12" i="5"/>
  <c r="C12" i="5"/>
  <c r="W10" i="5"/>
  <c r="X9" i="5"/>
  <c r="S8" i="5"/>
  <c r="T7" i="5"/>
  <c r="O6" i="5"/>
  <c r="P5" i="5"/>
  <c r="K4" i="5"/>
  <c r="L3" i="5"/>
  <c r="B3" i="5"/>
  <c r="B11" i="5"/>
  <c r="B4" i="5"/>
  <c r="K17" i="5"/>
  <c r="I7" i="5"/>
  <c r="C13" i="5"/>
  <c r="D16" i="5"/>
  <c r="S18" i="5"/>
  <c r="V15" i="5"/>
  <c r="U11" i="5"/>
  <c r="R18" i="5"/>
  <c r="Y10" i="5"/>
  <c r="AA18" i="5"/>
  <c r="K14" i="5"/>
  <c r="J7" i="5"/>
  <c r="K18" i="5"/>
  <c r="Z11" i="5"/>
  <c r="M4" i="5"/>
  <c r="I8" i="5"/>
  <c r="AA16" i="5"/>
  <c r="Q11" i="5"/>
  <c r="I4" i="5"/>
  <c r="F4" i="5"/>
  <c r="R16" i="5"/>
  <c r="Z12" i="5"/>
  <c r="Y6" i="5"/>
  <c r="F14" i="5"/>
  <c r="P10" i="5"/>
  <c r="S7" i="5"/>
  <c r="D4" i="5"/>
  <c r="M16" i="5"/>
  <c r="W12" i="5"/>
  <c r="Z9" i="5"/>
  <c r="K6" i="5"/>
  <c r="N3" i="5"/>
  <c r="G17" i="5"/>
  <c r="H16" i="5"/>
  <c r="C15" i="5"/>
  <c r="D14" i="5"/>
  <c r="X12" i="5"/>
  <c r="Y11" i="5"/>
  <c r="T10" i="5"/>
  <c r="U9" i="5"/>
  <c r="P8" i="5"/>
  <c r="Q7" i="5"/>
  <c r="L6" i="5"/>
  <c r="M5" i="5"/>
  <c r="H4" i="5"/>
  <c r="I3" i="5"/>
  <c r="B15" i="5"/>
  <c r="B8" i="5"/>
  <c r="X18" i="5"/>
  <c r="W15" i="5"/>
  <c r="D18" i="5"/>
  <c r="K8" i="5"/>
  <c r="K15" i="5"/>
  <c r="U17" i="5"/>
  <c r="N14" i="5"/>
  <c r="R10" i="5"/>
  <c r="Z17" i="5"/>
  <c r="F10" i="5"/>
  <c r="S16" i="5"/>
  <c r="C14" i="5"/>
  <c r="N5" i="5"/>
  <c r="E18" i="5"/>
  <c r="M10" i="5"/>
  <c r="M3" i="5"/>
  <c r="Q6" i="5"/>
  <c r="P16" i="5"/>
  <c r="N9" i="5"/>
  <c r="Q3" i="5"/>
  <c r="Y18" i="5"/>
  <c r="I16" i="5"/>
  <c r="C11" i="5"/>
  <c r="T6" i="5"/>
  <c r="F13" i="5"/>
  <c r="I10" i="5"/>
  <c r="S6" i="5"/>
  <c r="V3" i="5"/>
  <c r="M15" i="5"/>
  <c r="P12" i="5"/>
  <c r="Z8" i="5"/>
  <c r="D6" i="5"/>
  <c r="C18" i="5"/>
  <c r="D17" i="5"/>
  <c r="X15" i="5"/>
  <c r="Y14" i="5"/>
  <c r="T13" i="5"/>
  <c r="U12" i="5"/>
  <c r="P11" i="5"/>
  <c r="Q10" i="5"/>
  <c r="L9" i="5"/>
  <c r="M8" i="5"/>
  <c r="H7" i="5"/>
  <c r="I6" i="5"/>
  <c r="D5" i="5"/>
  <c r="E4" i="5"/>
  <c r="B12" i="5"/>
  <c r="B5" i="5"/>
  <c r="I18" i="5"/>
  <c r="H14" i="5"/>
  <c r="T8" i="5"/>
  <c r="J16" i="5"/>
  <c r="S12" i="5"/>
  <c r="O17" i="5"/>
  <c r="E14" i="5"/>
  <c r="M9" i="5"/>
  <c r="T17" i="5"/>
  <c r="T9" i="5"/>
  <c r="G16" i="5"/>
  <c r="U13" i="5"/>
  <c r="C5" i="5"/>
  <c r="R17" i="5"/>
  <c r="G9" i="5"/>
  <c r="X11" i="5"/>
  <c r="Q5" i="5"/>
  <c r="Z15" i="5"/>
  <c r="AA8" i="5"/>
  <c r="J3" i="5"/>
  <c r="U18" i="5"/>
  <c r="Q15" i="5"/>
  <c r="V10" i="5"/>
  <c r="N6" i="5"/>
  <c r="T12" i="5"/>
  <c r="W9" i="5"/>
  <c r="H6" i="5"/>
  <c r="K3" i="5"/>
  <c r="AA14" i="5"/>
  <c r="E12" i="5"/>
  <c r="O8" i="5"/>
  <c r="R5" i="5"/>
  <c r="Y17" i="5"/>
  <c r="Z16" i="5"/>
  <c r="U15" i="5"/>
  <c r="V14" i="5"/>
  <c r="Q13" i="5"/>
  <c r="R12" i="5"/>
  <c r="M11" i="5"/>
  <c r="N10" i="5"/>
  <c r="I9" i="5"/>
  <c r="J8" i="5"/>
  <c r="E7" i="5"/>
  <c r="F6" i="5"/>
  <c r="Z4" i="5"/>
  <c r="AA3" i="5"/>
  <c r="B9" i="5"/>
  <c r="B16" i="5"/>
  <c r="J15" i="5"/>
  <c r="H12" i="5"/>
  <c r="W3" i="5"/>
  <c r="P15" i="5"/>
  <c r="C8" i="5"/>
  <c r="C17" i="5"/>
  <c r="O13" i="5"/>
  <c r="X7" i="5"/>
  <c r="N17" i="5"/>
  <c r="F8" i="5"/>
  <c r="Y15" i="5"/>
  <c r="R11" i="5"/>
  <c r="C4" i="5"/>
  <c r="X14" i="5"/>
  <c r="R7" i="5"/>
  <c r="J10" i="5"/>
  <c r="S4" i="5"/>
  <c r="Y13" i="5"/>
  <c r="N8" i="5"/>
  <c r="E6" i="5"/>
  <c r="N18" i="5"/>
  <c r="R13" i="5"/>
  <c r="J9" i="5"/>
  <c r="P4" i="5"/>
  <c r="M12" i="5"/>
  <c r="W8" i="5"/>
  <c r="Z5" i="5"/>
  <c r="Q17" i="5"/>
  <c r="T14" i="5"/>
  <c r="E11" i="5"/>
  <c r="H8" i="5"/>
  <c r="R4" i="5"/>
  <c r="V17" i="5"/>
  <c r="Q16" i="5"/>
  <c r="R15" i="5"/>
  <c r="M14" i="5"/>
  <c r="N13" i="5"/>
  <c r="I12" i="5"/>
  <c r="J11" i="5"/>
  <c r="E10" i="5"/>
  <c r="F9" i="5"/>
  <c r="Z7" i="5"/>
  <c r="AA6" i="5"/>
  <c r="V5" i="5"/>
  <c r="W4" i="5"/>
  <c r="R3" i="5"/>
  <c r="B6" i="5"/>
  <c r="B13" i="5"/>
  <c r="Q12" i="5"/>
  <c r="F11" i="5"/>
  <c r="O18" i="5"/>
  <c r="U5" i="5"/>
  <c r="P7" i="5"/>
  <c r="O16" i="5"/>
  <c r="Y12" i="5"/>
  <c r="T5" i="5"/>
  <c r="H17" i="5"/>
  <c r="C7" i="5"/>
  <c r="S15" i="5"/>
  <c r="D10" i="5"/>
  <c r="P3" i="5"/>
  <c r="S13" i="5"/>
  <c r="W6" i="5"/>
  <c r="V9" i="5"/>
  <c r="S3" i="5"/>
  <c r="K12" i="5"/>
  <c r="Y7" i="5"/>
  <c r="X5" i="5"/>
  <c r="G18" i="5"/>
  <c r="L13" i="5"/>
  <c r="D9" i="5"/>
  <c r="J4" i="5"/>
  <c r="AA11" i="5"/>
  <c r="L8" i="5"/>
  <c r="O5" i="5"/>
  <c r="F17" i="5"/>
  <c r="I14" i="5"/>
  <c r="S10" i="5"/>
  <c r="V7" i="5"/>
  <c r="G4" i="5"/>
  <c r="S17" i="5"/>
  <c r="N16" i="5"/>
  <c r="O15" i="5"/>
  <c r="J14" i="5"/>
  <c r="K13" i="5"/>
  <c r="F12" i="5"/>
  <c r="G11" i="5"/>
  <c r="AA9" i="5"/>
  <c r="C9" i="5"/>
  <c r="W7" i="5"/>
  <c r="X6" i="5"/>
  <c r="S5" i="5"/>
  <c r="T4" i="5"/>
  <c r="O3" i="5"/>
  <c r="N15" i="5"/>
  <c r="K9" i="5"/>
  <c r="Q18" i="5"/>
  <c r="G15" i="5"/>
  <c r="D13" i="5"/>
  <c r="M6" i="5"/>
  <c r="E3" i="5"/>
  <c r="E17" i="5"/>
  <c r="O11" i="5"/>
  <c r="W5" i="5"/>
  <c r="K11" i="5"/>
  <c r="AA7" i="5"/>
  <c r="L18" i="5"/>
  <c r="E15" i="5"/>
  <c r="O10" i="5"/>
  <c r="M7" i="5"/>
  <c r="P6" i="5"/>
  <c r="Z3" i="5"/>
  <c r="AA17" i="5"/>
  <c r="H15" i="5"/>
  <c r="N11" i="5"/>
  <c r="X8" i="5"/>
  <c r="AA4" i="5"/>
  <c r="X13" i="5"/>
  <c r="T11" i="5"/>
  <c r="P9" i="5"/>
  <c r="L7" i="5"/>
  <c r="H5" i="5"/>
  <c r="D3" i="5"/>
  <c r="F16" i="5"/>
  <c r="AA13" i="5"/>
  <c r="W11" i="5"/>
  <c r="S9" i="5"/>
  <c r="O7" i="5"/>
  <c r="K5" i="5"/>
  <c r="G3" i="5"/>
  <c r="P17" i="5"/>
  <c r="W16" i="5"/>
  <c r="E16" i="5"/>
  <c r="L15" i="5"/>
  <c r="S14" i="5"/>
  <c r="Z13" i="5"/>
  <c r="H13" i="5"/>
  <c r="O12" i="5"/>
  <c r="V11" i="5"/>
  <c r="D11" i="5"/>
  <c r="K10" i="5"/>
  <c r="R9" i="5"/>
  <c r="Y8" i="5"/>
  <c r="G8" i="5"/>
  <c r="N7" i="5"/>
  <c r="U6" i="5"/>
  <c r="C6" i="5"/>
  <c r="J5" i="5"/>
  <c r="Q4" i="5"/>
  <c r="X3" i="5"/>
  <c r="F3" i="5"/>
  <c r="B18" i="5"/>
  <c r="B14" i="5"/>
  <c r="B10" i="5"/>
  <c r="O14" i="5"/>
  <c r="J13" i="5"/>
  <c r="I17" i="5"/>
  <c r="Q9" i="5"/>
  <c r="J18" i="5"/>
  <c r="F5" i="5"/>
  <c r="U16" i="5"/>
  <c r="V13" i="5"/>
  <c r="G10" i="5"/>
  <c r="M18" i="5"/>
  <c r="U14" i="5"/>
  <c r="Q8" i="5"/>
  <c r="Y16" i="5"/>
  <c r="Z14" i="5"/>
  <c r="V12" i="5"/>
  <c r="AA5" i="5"/>
  <c r="V18" i="5"/>
  <c r="L16" i="5"/>
  <c r="U10" i="5"/>
  <c r="L5" i="5"/>
  <c r="X10" i="5"/>
  <c r="G7" i="5"/>
  <c r="H18" i="5"/>
  <c r="L14" i="5"/>
  <c r="C10" i="5"/>
  <c r="G6" i="5"/>
  <c r="J6" i="5"/>
  <c r="T3" i="5"/>
  <c r="W17" i="5"/>
  <c r="D15" i="5"/>
  <c r="H11" i="5"/>
  <c r="R8" i="5"/>
  <c r="U4" i="5"/>
  <c r="M13" i="5"/>
  <c r="I11" i="5"/>
  <c r="E9" i="5"/>
  <c r="Z6" i="5"/>
  <c r="V4" i="5"/>
  <c r="X17" i="5"/>
  <c r="T15" i="5"/>
  <c r="P13" i="5"/>
  <c r="L11" i="5"/>
  <c r="H9" i="5"/>
  <c r="D7" i="5"/>
  <c r="Y4" i="5"/>
  <c r="F18" i="5"/>
  <c r="M17" i="5"/>
  <c r="T16" i="5"/>
  <c r="AA15" i="5"/>
  <c r="I15" i="5"/>
  <c r="P14" i="5"/>
  <c r="W13" i="5"/>
  <c r="E13" i="5"/>
  <c r="L12" i="5"/>
  <c r="S11" i="5"/>
  <c r="Z10" i="5"/>
  <c r="H10" i="5"/>
  <c r="O9" i="5"/>
  <c r="V8" i="5"/>
  <c r="D8" i="5"/>
  <c r="K7" i="5"/>
  <c r="R6" i="5"/>
  <c r="Y5" i="5"/>
  <c r="G5" i="5"/>
  <c r="N4" i="5"/>
  <c r="U3" i="5"/>
  <c r="C3" i="5"/>
  <c r="N3" i="22"/>
  <c r="P3" i="22"/>
  <c r="AL5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Ritika Pandey</author>
  </authors>
  <commentList>
    <comment ref="H2" authorId="0" shapeId="0" xr:uid="{008D8F94-BDDB-469A-8C25-4EE82F8C40FC}">
      <text>
        <r>
          <rPr>
            <b/>
            <sz val="9"/>
            <color indexed="81"/>
            <rFont val="Tahoma"/>
            <family val="2"/>
          </rPr>
          <t>Ritika Pandey:</t>
        </r>
        <r>
          <rPr>
            <sz val="9"/>
            <color indexed="81"/>
            <rFont val="Tahoma"/>
            <family val="2"/>
          </rPr>
          <t xml:space="preserve">
ADVANCE EXCEL TASK WORKBOOK SOLUTION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<sst xmlns="http://schemas.openxmlformats.org/spreadsheetml/2006/main" count="13229" uniqueCount="7252">
  <si>
    <t>Order_Id</t>
  </si>
  <si>
    <t>Amz1000 , Fpkart8904</t>
  </si>
  <si>
    <t>Amz1001 , Fpkart8905</t>
  </si>
  <si>
    <t>Amz1003 , Fpkart8907</t>
  </si>
  <si>
    <t>Amz1004 , Fpkart8908</t>
  </si>
  <si>
    <t>Amz1005 , Fpkart8909</t>
  </si>
  <si>
    <t>Amz1006 , Fpkart8910</t>
  </si>
  <si>
    <t>Amz1007 , Fpkart8911</t>
  </si>
  <si>
    <t>Amz1008 , Fpkart8912</t>
  </si>
  <si>
    <t>Amz1010 , Fpkart8914</t>
  </si>
  <si>
    <t>Amz1011 , Fpkart8915</t>
  </si>
  <si>
    <t>Amz1012 , Fpkart8916</t>
  </si>
  <si>
    <t>Amz1013 , Fpkart8917</t>
  </si>
  <si>
    <t>Amz1014 , Fpkart8918</t>
  </si>
  <si>
    <t>Amz1015 , Fpkart8919</t>
  </si>
  <si>
    <t>Amz1016 , Fpkart8920</t>
  </si>
  <si>
    <t>Amz1017 , Fpkart8921</t>
  </si>
  <si>
    <t>Amz1018 , Fpkart8922</t>
  </si>
  <si>
    <t>Amz1019 , Fpkart8923</t>
  </si>
  <si>
    <t>Amz1020 , Fpkart8924</t>
  </si>
  <si>
    <t>Amz1021 , Fpkart8925</t>
  </si>
  <si>
    <t>Amz1022 , Fpkart8926</t>
  </si>
  <si>
    <t>Amz1023 , Fpkart8927</t>
  </si>
  <si>
    <t>Amz1024 , Fpkart8928</t>
  </si>
  <si>
    <t>Amz1025 , Fpkart8929</t>
  </si>
  <si>
    <t>Amz1026 , Fpkart8930</t>
  </si>
  <si>
    <t>Amz1027 , Fpkart8931</t>
  </si>
  <si>
    <t>Amz1028 , Fpkart8932</t>
  </si>
  <si>
    <t>Amz1000</t>
  </si>
  <si>
    <t>Amz1001</t>
  </si>
  <si>
    <t>Amz1002</t>
  </si>
  <si>
    <t>Amz1003</t>
  </si>
  <si>
    <t>Amz1004</t>
  </si>
  <si>
    <t>Amz1005</t>
  </si>
  <si>
    <t>Amz1007</t>
  </si>
  <si>
    <t>Amz1008</t>
  </si>
  <si>
    <t>Amz1009</t>
  </si>
  <si>
    <t>Amz1010</t>
  </si>
  <si>
    <t>Amz1012</t>
  </si>
  <si>
    <t>Amz1013</t>
  </si>
  <si>
    <t>Amz1014</t>
  </si>
  <si>
    <t>Amz1015</t>
  </si>
  <si>
    <t>Amz1016</t>
  </si>
  <si>
    <t>Amz1017</t>
  </si>
  <si>
    <t>Amz1018</t>
  </si>
  <si>
    <t>Amz1019</t>
  </si>
  <si>
    <t>Amz1020</t>
  </si>
  <si>
    <t>Amz1021</t>
  </si>
  <si>
    <t>Amz1022</t>
  </si>
  <si>
    <t>Amz1023</t>
  </si>
  <si>
    <t>Amz1024</t>
  </si>
  <si>
    <t>Amz1025</t>
  </si>
  <si>
    <t>Amz1026</t>
  </si>
  <si>
    <t>Amz1027</t>
  </si>
  <si>
    <t>Amz1028</t>
  </si>
  <si>
    <t>Fpkart8904</t>
  </si>
  <si>
    <t>Fpkart8905</t>
  </si>
  <si>
    <t>Fpkart8906</t>
  </si>
  <si>
    <t>Fpkart8907</t>
  </si>
  <si>
    <t>Fpkart8908</t>
  </si>
  <si>
    <t>Fpkart8909</t>
  </si>
  <si>
    <t>Fpkart8910</t>
  </si>
  <si>
    <t>Fpkart8911</t>
  </si>
  <si>
    <t>Fpkart8912</t>
  </si>
  <si>
    <t>Fpkart8913</t>
  </si>
  <si>
    <t>Fpkart8914</t>
  </si>
  <si>
    <t>Fpkart8915</t>
  </si>
  <si>
    <t>Fpkart8916</t>
  </si>
  <si>
    <t>Fpkart8917</t>
  </si>
  <si>
    <t>Fpkart8918</t>
  </si>
  <si>
    <t>Fpkart8919</t>
  </si>
  <si>
    <t>Fpkart8920</t>
  </si>
  <si>
    <t>Fpkart8921</t>
  </si>
  <si>
    <t>Fpkart8922</t>
  </si>
  <si>
    <t>Fpkart8923</t>
  </si>
  <si>
    <t>Fpkart8924</t>
  </si>
  <si>
    <t>Fpkart8925</t>
  </si>
  <si>
    <t>Fpkart8926</t>
  </si>
  <si>
    <t>Fpkart8927</t>
  </si>
  <si>
    <t>Fpkart8928</t>
  </si>
  <si>
    <t>Fpkart8929</t>
  </si>
  <si>
    <t>Fpkart8930</t>
  </si>
  <si>
    <t>Fpkart8931</t>
  </si>
  <si>
    <t>Fpkart8932</t>
  </si>
  <si>
    <t>Location</t>
  </si>
  <si>
    <t>State_Zone</t>
  </si>
  <si>
    <t>Payment_Mode</t>
  </si>
  <si>
    <t>Maharashtra</t>
  </si>
  <si>
    <t>Pune</t>
  </si>
  <si>
    <t>Assam</t>
  </si>
  <si>
    <t>Guwahati</t>
  </si>
  <si>
    <t>Gujarat</t>
  </si>
  <si>
    <t>Surat</t>
  </si>
  <si>
    <t>Rajasthan</t>
  </si>
  <si>
    <t>Kota</t>
  </si>
  <si>
    <t>Card</t>
  </si>
  <si>
    <t>Net banking</t>
  </si>
  <si>
    <t>COD</t>
  </si>
  <si>
    <t>UPI</t>
  </si>
  <si>
    <t>Amz1002 , Fpkart8906,Amz20003</t>
  </si>
  <si>
    <t>Amz20003</t>
  </si>
  <si>
    <t>Amz1009 , Fpkart8913,Fpkart6789</t>
  </si>
  <si>
    <t>Fpkart6789</t>
  </si>
  <si>
    <t>BY VLOOKUP</t>
  </si>
  <si>
    <t>BY INDEX &amp; MATCH</t>
  </si>
  <si>
    <t>BY HLOOKUP</t>
  </si>
  <si>
    <t>BY INDIRECT &amp; ADDRESS</t>
  </si>
  <si>
    <t>NAME</t>
  </si>
  <si>
    <t>SURNAME</t>
  </si>
  <si>
    <t>DESIRED OUTPUT</t>
  </si>
  <si>
    <t>FULL NAME</t>
  </si>
  <si>
    <t>Richard</t>
  </si>
  <si>
    <t>Jonas</t>
  </si>
  <si>
    <t>David</t>
  </si>
  <si>
    <t>Henry</t>
  </si>
  <si>
    <t>Tom</t>
  </si>
  <si>
    <t>Holland</t>
  </si>
  <si>
    <t>Rochelle</t>
  </si>
  <si>
    <t>Malishka</t>
  </si>
  <si>
    <t>Minaj</t>
  </si>
  <si>
    <t>Aniyah</t>
  </si>
  <si>
    <t>Dsuza</t>
  </si>
  <si>
    <t>Richard Jonas</t>
  </si>
  <si>
    <t>David Henry</t>
  </si>
  <si>
    <t>Tom Holland</t>
  </si>
  <si>
    <t>Rochelle David</t>
  </si>
  <si>
    <t>Malishka Minaj</t>
  </si>
  <si>
    <t>Aniyah Dsuza</t>
  </si>
  <si>
    <t>FIRST NAME</t>
  </si>
  <si>
    <t>MID NAME</t>
  </si>
  <si>
    <t>LAST NAME</t>
  </si>
  <si>
    <t>Sid-singh-rawat</t>
  </si>
  <si>
    <t>Rahul-singh-rathore</t>
  </si>
  <si>
    <t>Amit-kumar-shrivastav</t>
  </si>
  <si>
    <t>Prajakta-rastogy-agnivanshi</t>
  </si>
  <si>
    <t>shreya-pandey-sharma</t>
  </si>
  <si>
    <t>abhay-khand-maheshwari</t>
  </si>
  <si>
    <t>Team Name</t>
  </si>
  <si>
    <t>Sunrisers Hyderabad</t>
  </si>
  <si>
    <t>Mumbai Indians</t>
  </si>
  <si>
    <t>Gujarat Lions</t>
  </si>
  <si>
    <t>Rising Pune Supergiant</t>
  </si>
  <si>
    <t>Royal Challengers Bangalore</t>
  </si>
  <si>
    <t>Delhi Daredevils</t>
  </si>
  <si>
    <t>Kolkata Knight Riders</t>
  </si>
  <si>
    <t>Kings XI Punjab</t>
  </si>
  <si>
    <t>First text</t>
  </si>
  <si>
    <t>Second text</t>
  </si>
  <si>
    <t>Third text</t>
  </si>
  <si>
    <t>USING MID FUCTION</t>
  </si>
  <si>
    <t>WITHOUT USING MID FUNCTION</t>
  </si>
  <si>
    <t>Amit+kumar+shrivastav</t>
  </si>
  <si>
    <t>Prajakta+rastogy+agnivanshi</t>
  </si>
  <si>
    <t>shreya+pandey+sharma</t>
  </si>
  <si>
    <t>Rahul-singh+rathore</t>
  </si>
  <si>
    <t>Sid+singh-rawat</t>
  </si>
  <si>
    <t>Prajakta+rastogy-agnivanshi</t>
  </si>
  <si>
    <t>shreya-pandey+sharma</t>
  </si>
  <si>
    <t>abhay+khand-maheshwari</t>
  </si>
  <si>
    <t>Rahul singh rathore</t>
  </si>
  <si>
    <t>Sid singh rawat</t>
  </si>
  <si>
    <t>Amit kumar shrivastav</t>
  </si>
  <si>
    <t>Prajakta rastogy agnivanshi</t>
  </si>
  <si>
    <t>shreya pandey sharma</t>
  </si>
  <si>
    <t>abhay khand maheshwari</t>
  </si>
  <si>
    <t>1--&gt; Join Names to get desired output</t>
  </si>
  <si>
    <t>2 --&gt;Split the names</t>
  </si>
  <si>
    <t>3 --&gt; Split the names</t>
  </si>
  <si>
    <t>4 --&gt; Split the names</t>
  </si>
  <si>
    <t>5 --&gt; Split the names</t>
  </si>
  <si>
    <t>6 --&gt; Split the names</t>
  </si>
  <si>
    <t>Last text</t>
  </si>
  <si>
    <t>USING RIGHT</t>
  </si>
  <si>
    <t xml:space="preserve"> Sunrisers Hyderabad</t>
  </si>
  <si>
    <t xml:space="preserve"> Mumbai Indians</t>
  </si>
  <si>
    <t xml:space="preserve"> Gujarat Lions</t>
  </si>
  <si>
    <t xml:space="preserve"> Rising Pune Supergiant</t>
  </si>
  <si>
    <t xml:space="preserve"> Royal Challengers Bangalore</t>
  </si>
  <si>
    <t xml:space="preserve"> Delhi Daredevils</t>
  </si>
  <si>
    <t xml:space="preserve"> Kolkata Knight Riders</t>
  </si>
  <si>
    <t xml:space="preserve"> Kings XI Punjab</t>
  </si>
  <si>
    <t>Neha</t>
  </si>
  <si>
    <t>Kamlesh</t>
  </si>
  <si>
    <t>Sai</t>
  </si>
  <si>
    <t>Aliyah</t>
  </si>
  <si>
    <t>SALES HEAD</t>
  </si>
  <si>
    <t>TOTAL SALES</t>
  </si>
  <si>
    <t>Manisha</t>
  </si>
  <si>
    <t>Akansha</t>
  </si>
  <si>
    <t>Ajeet</t>
  </si>
  <si>
    <t>Arpit</t>
  </si>
  <si>
    <t>Amesh</t>
  </si>
  <si>
    <t>Avinash</t>
  </si>
  <si>
    <t>Raman</t>
  </si>
  <si>
    <t>Ishita</t>
  </si>
  <si>
    <t>Kavita</t>
  </si>
  <si>
    <t>Kimtang</t>
  </si>
  <si>
    <t>SALES</t>
  </si>
  <si>
    <t>Edward Haowell</t>
  </si>
  <si>
    <t>Aliyah tendulkar</t>
  </si>
  <si>
    <t>Marilyn David</t>
  </si>
  <si>
    <t>Nick Liester</t>
  </si>
  <si>
    <t>Gorget hermoine</t>
  </si>
  <si>
    <t>Ron Weasley</t>
  </si>
  <si>
    <t>Sir Dumbledor</t>
  </si>
  <si>
    <t>Rose Jackson</t>
  </si>
  <si>
    <t>Kia Richards</t>
  </si>
  <si>
    <t>Amit Patel</t>
  </si>
  <si>
    <t>Augustin Robinson</t>
  </si>
  <si>
    <t xml:space="preserve">Minnel </t>
  </si>
  <si>
    <t xml:space="preserve">Uttam </t>
  </si>
  <si>
    <t xml:space="preserve">Raven </t>
  </si>
  <si>
    <t>Navin</t>
  </si>
  <si>
    <t>Ulas Hymer</t>
  </si>
  <si>
    <t>NAMES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</si>
  <si>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</si>
  <si>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</si>
  <si>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</si>
  <si>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</si>
  <si>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</si>
  <si>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</si>
  <si>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</si>
  <si>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</si>
  <si>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</si>
  <si>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</si>
  <si>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</si>
  <si>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</si>
  <si>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</si>
  <si>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</si>
  <si>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</si>
  <si>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</si>
  <si>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</si>
  <si>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</si>
  <si>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</si>
  <si>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</si>
  <si>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</si>
  <si>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</si>
  <si>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</si>
  <si>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</si>
  <si>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</si>
  <si>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</si>
  <si>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EDWARD HAOWELL</t>
  </si>
  <si>
    <t>ALIYAH TENDULKAR</t>
  </si>
  <si>
    <t xml:space="preserve">RAVEN </t>
  </si>
  <si>
    <t xml:space="preserve">UTTAM </t>
  </si>
  <si>
    <t>MARILYN DAVID</t>
  </si>
  <si>
    <t>NICK LIESTER</t>
  </si>
  <si>
    <t>GORGET HERMOINE</t>
  </si>
  <si>
    <t>RON WEASLEY</t>
  </si>
  <si>
    <t>SIR DUMBLEDOR</t>
  </si>
  <si>
    <t>ROSE JACKSON</t>
  </si>
  <si>
    <t>KIA RICHARDS</t>
  </si>
  <si>
    <t>AMIT PATEL</t>
  </si>
  <si>
    <t>AUGUSTIN ROBINSON</t>
  </si>
  <si>
    <t xml:space="preserve">MINNEL </t>
  </si>
  <si>
    <t>NAVIN</t>
  </si>
  <si>
    <t>ULAS HYMER</t>
  </si>
  <si>
    <t xml:space="preserve">ALPHABET </t>
  </si>
  <si>
    <t>COUNT</t>
  </si>
  <si>
    <t>METHOD 2</t>
  </si>
  <si>
    <t>METHOD 1</t>
  </si>
  <si>
    <t xml:space="preserve">Rahul </t>
  </si>
  <si>
    <t>Rohan</t>
  </si>
  <si>
    <t>Sonal</t>
  </si>
  <si>
    <t>Siya</t>
  </si>
  <si>
    <t>Prerna</t>
  </si>
  <si>
    <t>Udhita</t>
  </si>
  <si>
    <t>Harsh</t>
  </si>
  <si>
    <t>Naveen</t>
  </si>
  <si>
    <t>Sahil</t>
  </si>
  <si>
    <t>Nishita</t>
  </si>
  <si>
    <t>Anjali</t>
  </si>
  <si>
    <t>Harshita</t>
  </si>
  <si>
    <t>Adeeba</t>
  </si>
  <si>
    <t>Raghad</t>
  </si>
  <si>
    <t>Shivam</t>
  </si>
  <si>
    <t>Ayush</t>
  </si>
  <si>
    <t>Khimanand</t>
  </si>
  <si>
    <t>Piyush</t>
  </si>
  <si>
    <t>Vikas</t>
  </si>
  <si>
    <t>KAVita</t>
  </si>
  <si>
    <t>sUpRiya</t>
  </si>
  <si>
    <t>mehAk</t>
  </si>
  <si>
    <t>NIYA</t>
  </si>
  <si>
    <t>ARYA</t>
  </si>
  <si>
    <t>ABHISHEK</t>
  </si>
  <si>
    <t>ABHAY</t>
  </si>
  <si>
    <t>RYAN</t>
  </si>
  <si>
    <t>JAHNVI</t>
  </si>
  <si>
    <t>TAPSEE</t>
  </si>
  <si>
    <t>tashu</t>
  </si>
  <si>
    <t>kumkum</t>
  </si>
  <si>
    <t>tripti</t>
  </si>
  <si>
    <t>VINAYAK</t>
  </si>
  <si>
    <t>UPPERCASE COUNT</t>
  </si>
  <si>
    <t>LOWERCASE COUNT</t>
  </si>
  <si>
    <t xml:space="preserve"> </t>
  </si>
  <si>
    <t>EMP-ID</t>
  </si>
  <si>
    <t>LOCATION</t>
  </si>
  <si>
    <t>DEPARTMENT</t>
  </si>
  <si>
    <t>ITD-8900</t>
  </si>
  <si>
    <t>ITD-8901</t>
  </si>
  <si>
    <t>ITD-8902</t>
  </si>
  <si>
    <t>ITD-8903</t>
  </si>
  <si>
    <t>ITD-8904</t>
  </si>
  <si>
    <t>ITD-8905</t>
  </si>
  <si>
    <t>ITD-8906</t>
  </si>
  <si>
    <t>DELHI</t>
  </si>
  <si>
    <t>NOIDA</t>
  </si>
  <si>
    <t>PUNE</t>
  </si>
  <si>
    <t>CHENNAI</t>
  </si>
  <si>
    <t>JAIPUR</t>
  </si>
  <si>
    <t>HAWDA</t>
  </si>
  <si>
    <t>HARIDWAR</t>
  </si>
  <si>
    <t>FINANCE</t>
  </si>
  <si>
    <t>HR</t>
  </si>
  <si>
    <t>IT</t>
  </si>
  <si>
    <t>ANALYTICS</t>
  </si>
  <si>
    <t>MANAGEMENT</t>
  </si>
  <si>
    <t>PRODUCTION</t>
  </si>
  <si>
    <t>RAHUL KASHYAP</t>
  </si>
  <si>
    <t>SIDHARTH</t>
  </si>
  <si>
    <t>MANISH TATA BIRLA</t>
  </si>
  <si>
    <t>AMARJEET SINGH</t>
  </si>
  <si>
    <t>AKANSHA SHARMA</t>
  </si>
  <si>
    <t>PAWAN AGNIVANSHI</t>
  </si>
  <si>
    <t>NITIN PANDEY</t>
  </si>
  <si>
    <t>SALARY</t>
  </si>
  <si>
    <r>
      <t xml:space="preserve">Top 3 Sales head name using </t>
    </r>
    <r>
      <rPr>
        <b/>
        <i/>
        <sz val="11"/>
        <color theme="1"/>
        <rFont val="Calibri"/>
        <family val="2"/>
        <scheme val="minor"/>
      </rPr>
      <t>INDEX MATCH</t>
    </r>
  </si>
  <si>
    <r>
      <t>Top 3 Sales head name using</t>
    </r>
    <r>
      <rPr>
        <b/>
        <i/>
        <sz val="11"/>
        <color theme="1"/>
        <rFont val="Calibri"/>
        <family val="2"/>
        <scheme val="minor"/>
      </rPr>
      <t xml:space="preserve"> VLOOKUP</t>
    </r>
  </si>
  <si>
    <t>*using vlookup formula fill the following table</t>
  </si>
  <si>
    <t>If opportunity doesn't knock, build a door.</t>
  </si>
  <si>
    <t>The only way to do great work is to love what you do. If you haven’t found it yet, keep looking. Don’t settle.</t>
  </si>
  <si>
    <t>Steve Jobs</t>
  </si>
  <si>
    <t>A mind troubled by doubt cannot focus on the course to victory</t>
  </si>
  <si>
    <t>The only way to avoid criticism: Do nothing, say nothing, and be nothing.</t>
  </si>
  <si>
    <t>If you’re offered a seat on a rocket ship, don’t ask what seat! Just get on.</t>
  </si>
  <si>
    <t>If it scares you, it might be a good thing to try.</t>
  </si>
  <si>
    <t>The best revenge is, massive success.</t>
  </si>
  <si>
    <t>The future depends on what you do today</t>
  </si>
  <si>
    <t>FULL STOP(yes[count]/no)</t>
  </si>
  <si>
    <t>COMMA(yes[count]/no)</t>
  </si>
  <si>
    <t>APOSTROPHE(yes[count]/no)</t>
  </si>
  <si>
    <t>NUMBER OF CHARACTER IN ORIGINATOR'S NAME</t>
  </si>
  <si>
    <t>QUOTES</t>
  </si>
  <si>
    <t>ORIGINATOR</t>
  </si>
  <si>
    <t>MAHATAMA GANDHI</t>
  </si>
  <si>
    <t>Arthur golden</t>
  </si>
  <si>
    <t>ELBERT Hubbard</t>
  </si>
  <si>
    <t>sheryl sandberg</t>
  </si>
  <si>
    <t>Seth GODIN</t>
  </si>
  <si>
    <t>FranK SinatrA</t>
  </si>
  <si>
    <t>NUMBER OF UPPERCASE ALPHABET</t>
  </si>
  <si>
    <t>NUMBER OF LOWERCASE ALPHABET</t>
  </si>
  <si>
    <t>NUMBER OF WORDS IN QUOTE</t>
  </si>
  <si>
    <t>Date</t>
  </si>
  <si>
    <t>Driver's name</t>
  </si>
  <si>
    <t>Item</t>
  </si>
  <si>
    <t>Number of items</t>
  </si>
  <si>
    <t>TV</t>
  </si>
  <si>
    <t>ITEM</t>
  </si>
  <si>
    <t>PRICE</t>
  </si>
  <si>
    <t>washing machine</t>
  </si>
  <si>
    <t>refrigerator</t>
  </si>
  <si>
    <t>microwave</t>
  </si>
  <si>
    <t>WASHING MACHINE</t>
  </si>
  <si>
    <t>REFRIGERATOR</t>
  </si>
  <si>
    <t>MICROWAVE</t>
  </si>
  <si>
    <t>CONVERT LOWERCASE TO UPPERCASE AND VICE VERSA</t>
  </si>
  <si>
    <t>Nupur Mishra</t>
  </si>
  <si>
    <t>Karanveer Dalal</t>
  </si>
  <si>
    <t>Rohan Roy</t>
  </si>
  <si>
    <t>Amresh Patil</t>
  </si>
  <si>
    <t>Ritika Sharma</t>
  </si>
  <si>
    <t>Nikita Pandey</t>
  </si>
  <si>
    <t>Amandeep</t>
  </si>
  <si>
    <t>Rahul Maheshvari</t>
  </si>
  <si>
    <t>Vibhuti Kapoor</t>
  </si>
  <si>
    <t>Mayank Singh</t>
  </si>
  <si>
    <t>Tarun Mallik</t>
  </si>
  <si>
    <t>Vikas Agnivanshi</t>
  </si>
  <si>
    <t>Harpreet Kaur</t>
  </si>
  <si>
    <t>Divya Arya</t>
  </si>
  <si>
    <t>Sandeep Verma</t>
  </si>
  <si>
    <t>EMPLOYEE NAME</t>
  </si>
  <si>
    <t>Administration</t>
  </si>
  <si>
    <t>Business Development</t>
  </si>
  <si>
    <t>Finance</t>
  </si>
  <si>
    <t>Human Resources</t>
  </si>
  <si>
    <t>Marketing</t>
  </si>
  <si>
    <t>Production</t>
  </si>
  <si>
    <t>Quality</t>
  </si>
  <si>
    <t>Sales</t>
  </si>
  <si>
    <t>Software</t>
  </si>
  <si>
    <t>Abhay Rajput</t>
  </si>
  <si>
    <t>Dhruv Lohmad</t>
  </si>
  <si>
    <t>Piyush Bansal</t>
  </si>
  <si>
    <t>Harsh Mehta</t>
  </si>
  <si>
    <t>Nikita
Pandey</t>
  </si>
  <si>
    <t>Rohan
Roy</t>
  </si>
  <si>
    <t>Piyush
Bansal</t>
  </si>
  <si>
    <t>Dhruv
Lohmad</t>
  </si>
  <si>
    <t>Harsh
Mehta</t>
  </si>
  <si>
    <t>Harpreet
Kaur</t>
  </si>
  <si>
    <t>MilTON BERle</t>
  </si>
  <si>
    <t>EXAMINATION</t>
  </si>
  <si>
    <t>UNIT TEST 1</t>
  </si>
  <si>
    <t>UNIT TEST 2</t>
  </si>
  <si>
    <t>HALF YEARLY</t>
  </si>
  <si>
    <t>UNIT TEST 3</t>
  </si>
  <si>
    <t>FINALS</t>
  </si>
  <si>
    <t>APRAJITA SINGH</t>
  </si>
  <si>
    <t>MAYANK SHASTRI</t>
  </si>
  <si>
    <t>NEHA CHAUDHARY</t>
  </si>
  <si>
    <t>HARSH JOSHI</t>
  </si>
  <si>
    <t>TOP 10 SCORER's NAME</t>
  </si>
  <si>
    <t>SANDEEP</t>
  </si>
  <si>
    <t>RAHUL SHARMA</t>
  </si>
  <si>
    <t>MD NEYAZUDDIN</t>
  </si>
  <si>
    <t>SAKSHI KANDARI</t>
  </si>
  <si>
    <t>VARSHA LOHMAD</t>
  </si>
  <si>
    <t>VINAY PANWAR</t>
  </si>
  <si>
    <t>PERCENTAGE</t>
  </si>
  <si>
    <t>STUDENTS</t>
  </si>
  <si>
    <t>FIRST HIGHEST</t>
  </si>
  <si>
    <t>SECOND HIGHEST</t>
  </si>
  <si>
    <t>THIRD HIGHEST</t>
  </si>
  <si>
    <t>FOURTH HIGHEST</t>
  </si>
  <si>
    <t>FIFTH HIGHEST</t>
  </si>
  <si>
    <t>RESULT</t>
  </si>
  <si>
    <t>RESULT:</t>
  </si>
  <si>
    <t>DESIRED RESULT:</t>
  </si>
  <si>
    <r>
      <rPr>
        <b/>
        <sz val="11"/>
        <color theme="1"/>
        <rFont val="Calibri"/>
        <family val="2"/>
        <scheme val="minor"/>
      </rPr>
      <t>80</t>
    </r>
    <r>
      <rPr>
        <sz val="11"/>
        <color theme="1"/>
        <rFont val="Calibri"/>
        <family val="2"/>
        <scheme val="minor"/>
      </rPr>
      <t>CM</t>
    </r>
  </si>
  <si>
    <r>
      <rPr>
        <b/>
        <sz val="11"/>
        <color theme="1"/>
        <rFont val="Calibri"/>
        <family val="2"/>
        <scheme val="minor"/>
      </rPr>
      <t>85</t>
    </r>
    <r>
      <rPr>
        <sz val="11"/>
        <color theme="1"/>
        <rFont val="Calibri"/>
        <family val="2"/>
        <scheme val="minor"/>
      </rPr>
      <t>cm</t>
    </r>
  </si>
  <si>
    <r>
      <rPr>
        <b/>
        <sz val="11"/>
        <color theme="1"/>
        <rFont val="Calibri"/>
        <family val="2"/>
        <scheme val="minor"/>
      </rPr>
      <t>890</t>
    </r>
    <r>
      <rPr>
        <sz val="11"/>
        <color theme="1"/>
        <rFont val="Calibri"/>
        <family val="2"/>
        <scheme val="minor"/>
      </rPr>
      <t>mm</t>
    </r>
  </si>
  <si>
    <r>
      <rPr>
        <b/>
        <sz val="11"/>
        <color theme="1"/>
        <rFont val="Calibri"/>
        <family val="2"/>
        <scheme val="minor"/>
      </rPr>
      <t>100</t>
    </r>
    <r>
      <rPr>
        <sz val="11"/>
        <color theme="1"/>
        <rFont val="Calibri"/>
        <family val="2"/>
        <scheme val="minor"/>
      </rPr>
      <t>ml</t>
    </r>
  </si>
  <si>
    <r>
      <rPr>
        <b/>
        <sz val="11"/>
        <color theme="1"/>
        <rFont val="Calibri"/>
        <family val="2"/>
        <scheme val="minor"/>
      </rPr>
      <t>34509</t>
    </r>
    <r>
      <rPr>
        <sz val="11"/>
        <color theme="1"/>
        <rFont val="Calibri"/>
        <family val="2"/>
        <scheme val="minor"/>
      </rPr>
      <t>MM</t>
    </r>
  </si>
  <si>
    <r>
      <rPr>
        <b/>
        <sz val="11"/>
        <color theme="1"/>
        <rFont val="Calibri"/>
        <family val="2"/>
        <scheme val="minor"/>
      </rPr>
      <t>1898</t>
    </r>
    <r>
      <rPr>
        <sz val="11"/>
        <color theme="1"/>
        <rFont val="Calibri"/>
        <family val="2"/>
        <scheme val="minor"/>
      </rPr>
      <t>cm</t>
    </r>
  </si>
  <si>
    <t>MAR</t>
  </si>
  <si>
    <t>JEANS</t>
  </si>
  <si>
    <t>NEPAL</t>
  </si>
  <si>
    <t>FEB</t>
  </si>
  <si>
    <t>SHIRT</t>
  </si>
  <si>
    <t>FIND FREQUENCY OF FOLLOWING CRITERIAS?</t>
  </si>
  <si>
    <t>T-SHIRT</t>
  </si>
  <si>
    <t>SRI LANKA</t>
  </si>
  <si>
    <t>JAN</t>
  </si>
  <si>
    <t>CRITERIA</t>
  </si>
  <si>
    <t>OUTPUT</t>
  </si>
  <si>
    <t>APR</t>
  </si>
  <si>
    <t>SINGAPORE</t>
  </si>
  <si>
    <t>MAY</t>
  </si>
  <si>
    <t>INDIA</t>
  </si>
  <si>
    <t>FIND FREQUENCY OF BELOW COMBINATIONS?</t>
  </si>
  <si>
    <t>FEB &amp; NEPAL</t>
  </si>
  <si>
    <t>SHIRT IN SINGAPORE</t>
  </si>
  <si>
    <t>JEANS IN INDIA IN MAR</t>
  </si>
  <si>
    <t>T-SHIRT IN MAY</t>
  </si>
  <si>
    <t>JEANS &amp; SHIRT IN MAR</t>
  </si>
  <si>
    <t>INDIA &amp; SINGAPORE IN APR</t>
  </si>
  <si>
    <t>JUN</t>
  </si>
  <si>
    <t>SHIRT IN NEPAL</t>
  </si>
  <si>
    <t>MONTH</t>
  </si>
  <si>
    <t>PRODUCT</t>
  </si>
  <si>
    <t>COUNTRY</t>
  </si>
  <si>
    <t>EMPLOYEE ID</t>
  </si>
  <si>
    <t>JUL</t>
  </si>
  <si>
    <t>AUG</t>
  </si>
  <si>
    <t>SEP</t>
  </si>
  <si>
    <t>OCT</t>
  </si>
  <si>
    <t>NOV</t>
  </si>
  <si>
    <t>DEC</t>
  </si>
  <si>
    <t>Emp-001</t>
  </si>
  <si>
    <t>Emp-002</t>
  </si>
  <si>
    <t>Emp-003</t>
  </si>
  <si>
    <t>Emp-004</t>
  </si>
  <si>
    <t>Emp-005</t>
  </si>
  <si>
    <t>Emp-006</t>
  </si>
  <si>
    <t>Emp-007</t>
  </si>
  <si>
    <t>Emp-008</t>
  </si>
  <si>
    <t>Emp-009</t>
  </si>
  <si>
    <t>Emp-0010</t>
  </si>
  <si>
    <t>EMP1</t>
  </si>
  <si>
    <t>EMP2</t>
  </si>
  <si>
    <t>EMP3</t>
  </si>
  <si>
    <t>EMP4</t>
  </si>
  <si>
    <t>EMP5</t>
  </si>
  <si>
    <t>EMP6</t>
  </si>
  <si>
    <t>EMP7</t>
  </si>
  <si>
    <t>EMP8</t>
  </si>
  <si>
    <t>EMP9</t>
  </si>
  <si>
    <t>EMP10</t>
  </si>
  <si>
    <t>Emp-100</t>
  </si>
  <si>
    <t>Emp-200</t>
  </si>
  <si>
    <t>Emp-300</t>
  </si>
  <si>
    <t>Emp-400</t>
  </si>
  <si>
    <t>Emp-500</t>
  </si>
  <si>
    <t>Emp-600</t>
  </si>
  <si>
    <t>Emp-700</t>
  </si>
  <si>
    <t>Emp-800</t>
  </si>
  <si>
    <t>Emp-900</t>
  </si>
  <si>
    <t>Emp-1000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</si>
  <si>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</si>
  <si>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</si>
  <si>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</si>
  <si>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</si>
  <si>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</si>
  <si>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</si>
  <si>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</si>
  <si>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</si>
  <si>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</si>
  <si>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</si>
  <si>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</si>
  <si>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</si>
  <si>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 </t>
  </si>
  <si>
    <t>MEDICINE AND DRUGS</t>
  </si>
  <si>
    <t>Divesh</t>
  </si>
  <si>
    <t>Esha</t>
  </si>
  <si>
    <t>Shantanu</t>
  </si>
  <si>
    <t>Raj</t>
  </si>
  <si>
    <t>SELECTED NAMES</t>
  </si>
  <si>
    <t>SUM OF SALES BTW 2 NAMES</t>
  </si>
  <si>
    <t>Mayank</t>
  </si>
  <si>
    <t>Diljeet</t>
  </si>
  <si>
    <t>Kamla</t>
  </si>
  <si>
    <t>Ashika</t>
  </si>
  <si>
    <t>FIND MISSING NUMBERS IN SERIES</t>
  </si>
  <si>
    <t>RANDOM NUMBER SERIES</t>
  </si>
  <si>
    <t>Nritesh Singh</t>
  </si>
  <si>
    <t>Tripti Suri</t>
  </si>
  <si>
    <t>Lavanya Gupta</t>
  </si>
  <si>
    <t>Krishka Pandey</t>
  </si>
  <si>
    <t>Soni Dubey</t>
  </si>
  <si>
    <t>Kiara Doda</t>
  </si>
  <si>
    <t>Dinesh Keshwana</t>
  </si>
  <si>
    <t>Mayank Yadav</t>
  </si>
  <si>
    <t>Aman Chauhan</t>
  </si>
  <si>
    <t>Ritvik Verne</t>
  </si>
  <si>
    <t>Nakul Chattopadhyay</t>
  </si>
  <si>
    <t>Abhishek Kapoor</t>
  </si>
  <si>
    <t>Sunny Pathak</t>
  </si>
  <si>
    <t>Vikrant Gautam</t>
  </si>
  <si>
    <t>Sidhharth Suri Nomnom</t>
  </si>
  <si>
    <t>Wari Sem Doda</t>
  </si>
  <si>
    <t>Indir Turi Chand</t>
  </si>
  <si>
    <t>Chandni Rawat</t>
  </si>
  <si>
    <t>*EXTRACT FIRST NAMES WHICH CONTAINS "a"</t>
  </si>
  <si>
    <t>Name</t>
  </si>
  <si>
    <t>Start_date</t>
  </si>
  <si>
    <t>End_date</t>
  </si>
  <si>
    <t>Aman</t>
  </si>
  <si>
    <t>Lavanya</t>
  </si>
  <si>
    <t>Krishka</t>
  </si>
  <si>
    <t>Soni</t>
  </si>
  <si>
    <t>Kiara</t>
  </si>
  <si>
    <t>Dinesh</t>
  </si>
  <si>
    <t>Ritvik</t>
  </si>
  <si>
    <t>Nakul</t>
  </si>
  <si>
    <t xml:space="preserve">*highlight according to dates </t>
  </si>
  <si>
    <t>*highlight according to emp name</t>
  </si>
  <si>
    <t>ZONE</t>
  </si>
  <si>
    <t>CITY</t>
  </si>
  <si>
    <t>NORTH</t>
  </si>
  <si>
    <t>BANGALORE</t>
  </si>
  <si>
    <t>WEST</t>
  </si>
  <si>
    <t>LUCKNOW</t>
  </si>
  <si>
    <t>EAST</t>
  </si>
  <si>
    <t>SOUTH</t>
  </si>
  <si>
    <t>MUMBAI</t>
  </si>
  <si>
    <t>qtr1</t>
  </si>
  <si>
    <t>qtr2</t>
  </si>
  <si>
    <t>qtr3</t>
  </si>
  <si>
    <t>qtr4</t>
  </si>
  <si>
    <t>Students Name</t>
  </si>
  <si>
    <t>Physics theory</t>
  </si>
  <si>
    <t>Chemistry theory</t>
  </si>
  <si>
    <t>bio theory</t>
  </si>
  <si>
    <t>Physical theory</t>
  </si>
  <si>
    <t>workshop theory</t>
  </si>
  <si>
    <t>Physics lab</t>
  </si>
  <si>
    <t>Chemistry lab</t>
  </si>
  <si>
    <t>bio lab</t>
  </si>
  <si>
    <t>Physical lab</t>
  </si>
  <si>
    <t>workshop lab</t>
  </si>
  <si>
    <t>STUDENTS NAME</t>
  </si>
  <si>
    <t>lab</t>
  </si>
  <si>
    <t>Niya</t>
  </si>
  <si>
    <t>Arya</t>
  </si>
  <si>
    <t>Abhishek</t>
  </si>
  <si>
    <t>Abhay</t>
  </si>
  <si>
    <t>*calculate average marks of students name mentioned in above criteria</t>
  </si>
  <si>
    <t>Ryan</t>
  </si>
  <si>
    <t>Jahnvi</t>
  </si>
  <si>
    <t>Tapsee</t>
  </si>
  <si>
    <t>Tashu</t>
  </si>
  <si>
    <t>Kumkum</t>
  </si>
  <si>
    <t>Tripti</t>
  </si>
  <si>
    <t>Supriya</t>
  </si>
  <si>
    <t>Mehak</t>
  </si>
  <si>
    <t>Vinayak</t>
  </si>
  <si>
    <t>loan_id</t>
  </si>
  <si>
    <t>applicant_state_1</t>
  </si>
  <si>
    <t>repossession_date</t>
  </si>
  <si>
    <t>client_loan_sanction_date</t>
  </si>
  <si>
    <t>total_loan_amount</t>
  </si>
  <si>
    <t>loan_tenure</t>
  </si>
  <si>
    <t>emi_amount</t>
  </si>
  <si>
    <t>Status</t>
  </si>
  <si>
    <t>applicant_name</t>
  </si>
  <si>
    <t>reference_name_1</t>
  </si>
  <si>
    <t>applicant_address_text_1</t>
  </si>
  <si>
    <t>applicant_city_1</t>
  </si>
  <si>
    <t>applicant_pincode_1</t>
  </si>
  <si>
    <t>applicant_language</t>
  </si>
  <si>
    <t>applicant_contact_number</t>
  </si>
  <si>
    <t>vehicle_registration_number</t>
  </si>
  <si>
    <t>chassis_number</t>
  </si>
  <si>
    <t>engine_number</t>
  </si>
  <si>
    <t>repossession_amount</t>
  </si>
  <si>
    <t>principal_outstanding_amount</t>
  </si>
  <si>
    <t>total_claim_amount</t>
  </si>
  <si>
    <t>make_and_model</t>
  </si>
  <si>
    <t>notice_id</t>
  </si>
  <si>
    <t>barcode</t>
  </si>
  <si>
    <t>tags</t>
  </si>
  <si>
    <t>notice_date</t>
  </si>
  <si>
    <t>WB3054TW0122112</t>
  </si>
  <si>
    <t>West Bengal</t>
  </si>
  <si>
    <t>2022-05-17</t>
  </si>
  <si>
    <t>2020-10-09</t>
  </si>
  <si>
    <t>SEIZED</t>
  </si>
  <si>
    <t>Mr.BISWARUP SANYAL</t>
  </si>
  <si>
    <t>SUMITA SANYAL</t>
  </si>
  <si>
    <t xml:space="preserve">S/D/O : SUMITA SANYAL, VILL-CHANDURIA DAKSHIN, P. O-SIMURALI, P.S-CHAKDAH, DIST-NADIA, AMANTRAN VILA, </t>
  </si>
  <si>
    <t>Nadia</t>
  </si>
  <si>
    <t>741248</t>
  </si>
  <si>
    <t>bn</t>
  </si>
  <si>
    <t>7908339015</t>
  </si>
  <si>
    <t>WB90G3266</t>
  </si>
  <si>
    <t>MD626AK34L2K24149</t>
  </si>
  <si>
    <t>AK3KL2124208</t>
  </si>
  <si>
    <t>NTORQ 125 DISC – RACE EDITION BSVI</t>
  </si>
  <si>
    <t>TVS/1001</t>
  </si>
  <si>
    <t>RD904966544IN</t>
  </si>
  <si>
    <t>presale_20may(585)</t>
  </si>
  <si>
    <t>2022-05-20</t>
  </si>
  <si>
    <t>WB3078TW0088967</t>
  </si>
  <si>
    <t>2019-11-21</t>
  </si>
  <si>
    <t>Mrs.MIMI   GHOSH</t>
  </si>
  <si>
    <t>ALOKE KANTI GHOSH</t>
  </si>
  <si>
    <t xml:space="preserve">S/D/O : ALOKE KANTI GHOSH, BIPIN PAUL SARANI SILIGURI MCROP SILIGURI DARJEELI, BIPIN PAUL SARANI SILIGURI MCROP SILIGURI DARJEELI, AURNDEEP APARTMENT, </t>
  </si>
  <si>
    <t>Darjiling</t>
  </si>
  <si>
    <t>734008</t>
  </si>
  <si>
    <t>6294121252</t>
  </si>
  <si>
    <t>WB74BA5960</t>
  </si>
  <si>
    <t>MD626EG44K1K10586</t>
  </si>
  <si>
    <t>EG4KK1105799</t>
  </si>
  <si>
    <t>JUPITER 110 CC</t>
  </si>
  <si>
    <t>TVS/1002</t>
  </si>
  <si>
    <t>RD904966558IN</t>
  </si>
  <si>
    <t>KO3078TW0042909</t>
  </si>
  <si>
    <t>2022-05-19</t>
  </si>
  <si>
    <t>2018-01-13</t>
  </si>
  <si>
    <t>Mr.CHAITUKHAN</t>
  </si>
  <si>
    <t>MURSID  KHAN</t>
  </si>
  <si>
    <t>S/D/O : MURSID  KHAN, CHAND PUR, MIRJAT PUR, NEAR KALI MANDIR, RATUA MALDA</t>
  </si>
  <si>
    <t>Malda</t>
  </si>
  <si>
    <t>732204</t>
  </si>
  <si>
    <t>8372972507</t>
  </si>
  <si>
    <t>WB84A7213</t>
  </si>
  <si>
    <t>MD634BE44H2H35827</t>
  </si>
  <si>
    <t>BE4HH2135171</t>
  </si>
  <si>
    <t>APACHE ES RTR 160 NEW</t>
  </si>
  <si>
    <t>TVS/1003</t>
  </si>
  <si>
    <t>RD904966561IN</t>
  </si>
  <si>
    <t>WB3054TW0103687</t>
  </si>
  <si>
    <t>2022-05-08</t>
  </si>
  <si>
    <t>2019-03-29</t>
  </si>
  <si>
    <t>Mr.BAPI KUMAR SHARMA</t>
  </si>
  <si>
    <t>SWAMI NATH SHARMA</t>
  </si>
  <si>
    <t xml:space="preserve">S/D/O : SWAMI NATH SHARMA, 34 A RAJANI BABU ROAD,KANCHRAPARA, N24PGS , , CHAITAK CLUB, </t>
  </si>
  <si>
    <t>North 24 Parganas</t>
  </si>
  <si>
    <t/>
  </si>
  <si>
    <t>MD621DP19K2AL2038</t>
  </si>
  <si>
    <t>DP1PJ2508404</t>
  </si>
  <si>
    <t>TVS XL 100 CC</t>
  </si>
  <si>
    <t>TVS/1004</t>
  </si>
  <si>
    <t>RD904966575IN</t>
  </si>
  <si>
    <t>WB3078TW0053003</t>
  </si>
  <si>
    <t>2022-05-15</t>
  </si>
  <si>
    <t>2018-07-13</t>
  </si>
  <si>
    <t>Mr.SANJITROY</t>
  </si>
  <si>
    <t>SIBEN ROY</t>
  </si>
  <si>
    <t>S/D/O : SIBEN ROY, DAKSHIN SALBARI, PURBADURAMARI, NR WINE SHOP, JALPAIGURI</t>
  </si>
  <si>
    <t>Jalpaiguri</t>
  </si>
  <si>
    <t>WB72T1170</t>
  </si>
  <si>
    <t>MD625GF1XH1K76039</t>
  </si>
  <si>
    <t>GF1KH1975401</t>
  </si>
  <si>
    <t>VICTOR 110CC DISC</t>
  </si>
  <si>
    <t>TVS/1005</t>
  </si>
  <si>
    <t>RD904966589IN</t>
  </si>
  <si>
    <t>GJ3030UT0001727</t>
  </si>
  <si>
    <t>2022-05-18</t>
  </si>
  <si>
    <t>2019-02-20</t>
  </si>
  <si>
    <t>Mrs.MEHARUMNISHARAZZAQBHAIKURESHI</t>
  </si>
  <si>
    <t>RAZZAQBHAI</t>
  </si>
  <si>
    <t>S/D/O : RAZZAQBHAI, 36 KADRI NI VADI NR RAJA RANI MAHEL, NR DOSIMIYA DARGAH SAIYEDWADI SARKHEJ, NR DOSIMIYA DARGAH SAIYEDWADI SARKHEJ, AHMEDABAD</t>
  </si>
  <si>
    <t>Ahmedabad</t>
  </si>
  <si>
    <t>382210</t>
  </si>
  <si>
    <t>gu</t>
  </si>
  <si>
    <t>9586253904</t>
  </si>
  <si>
    <t>GJ01PW6461</t>
  </si>
  <si>
    <t>MD626EG49H3L72162</t>
  </si>
  <si>
    <t>EG4KH2507093</t>
  </si>
  <si>
    <t>TW MATURED TOP UP LOAN</t>
  </si>
  <si>
    <t>TVS/1006</t>
  </si>
  <si>
    <t>RD904966592IN</t>
  </si>
  <si>
    <t>GJ3026TW0017667</t>
  </si>
  <si>
    <t>2020-02-25</t>
  </si>
  <si>
    <t>Mr.RAMASUBHAI NARSINGBHAI KATARA</t>
  </si>
  <si>
    <t>NARSINGBHAI</t>
  </si>
  <si>
    <t>S/D/O : NARSINGBHAI, 177 KATARA FALIYU, VADAVA-2, NR SCHOOL, TAL GARBADA DIST DAHOD</t>
  </si>
  <si>
    <t>Dahod</t>
  </si>
  <si>
    <t>389382</t>
  </si>
  <si>
    <t>9537137683</t>
  </si>
  <si>
    <t>GJ20AN3504</t>
  </si>
  <si>
    <t>MD634DE64K2L03109</t>
  </si>
  <si>
    <t>DE6LK2803008</t>
  </si>
  <si>
    <t>APACHE RTR 180 ABS</t>
  </si>
  <si>
    <t>TVS/1007</t>
  </si>
  <si>
    <t>RD904966601IN</t>
  </si>
  <si>
    <t>GJ3026TW0018542</t>
  </si>
  <si>
    <t>2021-01-23</t>
  </si>
  <si>
    <t>Mr.KALPESHBHAI KHETABHAI CHAREL</t>
  </si>
  <si>
    <t>KHETABHAI</t>
  </si>
  <si>
    <t>S/D/O : KHETABHAI, 204 CHAREL, FALIYU, SUDIA, NEAR AGANWADI, SINGVAD DAHOD</t>
  </si>
  <si>
    <t>Panch Mahals</t>
  </si>
  <si>
    <t>389180</t>
  </si>
  <si>
    <t>7069262212</t>
  </si>
  <si>
    <t>GJ20AR4825</t>
  </si>
  <si>
    <t>MD637DE52L2L07806</t>
  </si>
  <si>
    <t>DE5LL2907654</t>
  </si>
  <si>
    <t>APACHE RTR 160 2V BSVI DRUM</t>
  </si>
  <si>
    <t>TVS/1008</t>
  </si>
  <si>
    <t>RD904966615IN</t>
  </si>
  <si>
    <t>GJ3030TW0028957</t>
  </si>
  <si>
    <t>2021-11-10</t>
  </si>
  <si>
    <t>Mr.NARENDRAKUMARBHARATBHAIDABHI</t>
  </si>
  <si>
    <t>BHARATBHAI</t>
  </si>
  <si>
    <t>S/D/O : BHARATBHAI, 799,B BHAGATPURA, NR MATHUPURA SCHOOL, NR MAHISAGAR TEMPLE, BAGDOL-2 BAGDOL TA KATHLAL DIST KHEDA</t>
  </si>
  <si>
    <t>Kheda</t>
  </si>
  <si>
    <t>387630</t>
  </si>
  <si>
    <t>9023971043</t>
  </si>
  <si>
    <t>GJ07EG1870</t>
  </si>
  <si>
    <t>MD634AE88M2K18115</t>
  </si>
  <si>
    <t>AE8KM2718403</t>
  </si>
  <si>
    <t>TVS/1009</t>
  </si>
  <si>
    <t>RD904966629IN</t>
  </si>
  <si>
    <t>GJ3026TW0018335</t>
  </si>
  <si>
    <t>2020-11-11</t>
  </si>
  <si>
    <t>Mr.SANJAYBHAI VAGHAJIBHAI PARGI</t>
  </si>
  <si>
    <t>VAGHAJIBHAI</t>
  </si>
  <si>
    <t>S/D/O : VAGHAJIBHAI, 168 DAIDA FALIYU, KARMEL, NR AGANWADI, FATEPURA DAHOD</t>
  </si>
  <si>
    <t>389172</t>
  </si>
  <si>
    <t>9638671185</t>
  </si>
  <si>
    <t>GJ20AR2506</t>
  </si>
  <si>
    <t>MD625BK25L1B06457</t>
  </si>
  <si>
    <t>BK2BL1906599</t>
  </si>
  <si>
    <t>TVS RADEON 110 ES MAG BSVI</t>
  </si>
  <si>
    <t>TVS/1010</t>
  </si>
  <si>
    <t>RD904966632IN</t>
  </si>
  <si>
    <t>GJ3026TW0014995</t>
  </si>
  <si>
    <t>2018-10-14</t>
  </si>
  <si>
    <t>Mr.HIMMATBHAI NARSINGBHAI BARIYA</t>
  </si>
  <si>
    <t xml:space="preserve">S/D/O : NARSINGBHAI, USERVAN, GAMATAL, NR PRIMARY SCHOOL, </t>
  </si>
  <si>
    <t>389151</t>
  </si>
  <si>
    <t>9586998565</t>
  </si>
  <si>
    <t>GJ20AK1398</t>
  </si>
  <si>
    <t>MD634CE67J2H34605</t>
  </si>
  <si>
    <t>CE6HJ2433799</t>
  </si>
  <si>
    <t>APACHE RTR 180 CC</t>
  </si>
  <si>
    <t>TVS/1011</t>
  </si>
  <si>
    <t>RD904966646IN</t>
  </si>
  <si>
    <t>GJ3030TW0027120</t>
  </si>
  <si>
    <t>2020-01-13</t>
  </si>
  <si>
    <t>Mr.JAVEDMEEYA AHEMADBHAI JUNEJA</t>
  </si>
  <si>
    <t>AHEMADBHAI</t>
  </si>
  <si>
    <t xml:space="preserve">S/D/O : AHEMADBHAI, SURVEY NO 95/01 PLOT NO 3, DUPLEX NO 8 IQBAL VILLA INSIDE AL SAKHA PARK, BH CANAL, </t>
  </si>
  <si>
    <t>8140096815</t>
  </si>
  <si>
    <t>GJ01VA6917</t>
  </si>
  <si>
    <t>MD626EG43L3AR2071</t>
  </si>
  <si>
    <t>EG4PK3603294</t>
  </si>
  <si>
    <t>TVS/1012</t>
  </si>
  <si>
    <t>RD904966650IN</t>
  </si>
  <si>
    <t>GJ3026TW0012611</t>
  </si>
  <si>
    <t>2017-10-11</t>
  </si>
  <si>
    <t>Mr.JAYESHBHAIMELABHAIRABARI</t>
  </si>
  <si>
    <t>MELABHAI</t>
  </si>
  <si>
    <t xml:space="preserve">S/D/O : MELABHAI, 2-8 THAKOR FALIYA RABARI CHAKLA, KANDHROTI BORSAD ANAND, RABARI CHAKLA, </t>
  </si>
  <si>
    <t>Anand</t>
  </si>
  <si>
    <t>388580</t>
  </si>
  <si>
    <t>7096701575</t>
  </si>
  <si>
    <t>GJ23BP2242</t>
  </si>
  <si>
    <t>MD625PF56H1G60616</t>
  </si>
  <si>
    <t>NF5GH1X63648</t>
  </si>
  <si>
    <t>TVS SPORT SPOKE KS</t>
  </si>
  <si>
    <t>TVS/1013</t>
  </si>
  <si>
    <t>RD904966663IN</t>
  </si>
  <si>
    <t>GJ3030TW0023413</t>
  </si>
  <si>
    <t>2018-10-05</t>
  </si>
  <si>
    <t>Miss.JYOTSNABENCHIMANBHAISOLANKI</t>
  </si>
  <si>
    <t>CHIMANBHAI</t>
  </si>
  <si>
    <t>S/D/O : CHIMANBHAI, 376 JAY MAHAKALI NAGAR, SALATVAS SARKHEJ, 376 GAYATRINAGAR JAY MAHAKALI NAGAR NR AMBLI, ROAD AHMEDABAD</t>
  </si>
  <si>
    <t>8849316134</t>
  </si>
  <si>
    <t>GJ01UL1194</t>
  </si>
  <si>
    <t>MD625PF58J3G39180</t>
  </si>
  <si>
    <t>PF5GJ1422294</t>
  </si>
  <si>
    <t>TVS SPORT CVTI</t>
  </si>
  <si>
    <t>TVS/1014</t>
  </si>
  <si>
    <t>RD904966677IN</t>
  </si>
  <si>
    <t>GJ3031TW0016523</t>
  </si>
  <si>
    <t>2017-01-19</t>
  </si>
  <si>
    <t>Mr.MUKESHHARJIBHAIKOCHRA</t>
  </si>
  <si>
    <t>HARJIBHAI</t>
  </si>
  <si>
    <t>S/D/O : HARJIBHAI, KHEDDI CAMP JAGJIVAN NAGAR, GANDHIDHAM, JAG JIVAN NAGAR, KACHCHH</t>
  </si>
  <si>
    <t>Kachchh</t>
  </si>
  <si>
    <t>370201</t>
  </si>
  <si>
    <t>9825799742</t>
  </si>
  <si>
    <t>GJ12DD0923</t>
  </si>
  <si>
    <t>MD626BG4XG1P04473</t>
  </si>
  <si>
    <t>BG4PG1X98356</t>
  </si>
  <si>
    <t>TVS/1015</t>
  </si>
  <si>
    <t>RD904966685IN</t>
  </si>
  <si>
    <t>GJ3083RV0000025</t>
  </si>
  <si>
    <t>2020-10-31</t>
  </si>
  <si>
    <t>Mr.BIJALBHAIDASABHAIKHUNTAD</t>
  </si>
  <si>
    <t>DASABHAI</t>
  </si>
  <si>
    <t>S/D/O : DASABHAI, 135 VADI VISTAR, AT GORAKH MADHI, GORAKHMADHI, TA SUTRAPADA</t>
  </si>
  <si>
    <t>Junagadh</t>
  </si>
  <si>
    <t>362268</t>
  </si>
  <si>
    <t>9904599464</t>
  </si>
  <si>
    <t>GJ32T3582</t>
  </si>
  <si>
    <t>MAT466395G1A01686</t>
  </si>
  <si>
    <t>B591803261A63491621</t>
  </si>
  <si>
    <t>TATA 3118 GOODS 2016</t>
  </si>
  <si>
    <t>TVS/1016</t>
  </si>
  <si>
    <t>RD904966694IN</t>
  </si>
  <si>
    <t>GJ3030TW0022556</t>
  </si>
  <si>
    <t>2018-06-22</t>
  </si>
  <si>
    <t>Mrs.HASINABEGFAKIRMOHAMADMANSURI</t>
  </si>
  <si>
    <t>FAKIRMAHAMMAD</t>
  </si>
  <si>
    <t>S/D/O : FAKIRMAHAMMAD, 1 4 TOFIK DUPLEX INSIDE BALL, TABBSUM SOC NR JUNI BHATTA SCHOOL, 1 4 TOFIK DUPLEX INSIDE BALL, GYASPUR FATEHWADI AHMEDABAD</t>
  </si>
  <si>
    <t>380055</t>
  </si>
  <si>
    <t>9173707757</t>
  </si>
  <si>
    <t>GJ01UD6806</t>
  </si>
  <si>
    <t>MD626EG46J1E87354</t>
  </si>
  <si>
    <t>EG4EJ1323383</t>
  </si>
  <si>
    <t>JUPITER DISC CLASSIC</t>
  </si>
  <si>
    <t>TVS/1017</t>
  </si>
  <si>
    <t>RD904966703IN</t>
  </si>
  <si>
    <t>GJ3030TW0027929</t>
  </si>
  <si>
    <t>2020-09-30</t>
  </si>
  <si>
    <t>Mr.ALPESH MANHARBHAI ASHARA</t>
  </si>
  <si>
    <t>MANHARBHAI</t>
  </si>
  <si>
    <t>S/D/O : MANHARBHAI, 1436 SUTHAR VADA NI POLE NR RANGOTI BAZAR, NR ASTODIA GATE ASTODIA, ASTODIA GATE, AHMEDABAD</t>
  </si>
  <si>
    <t>380001</t>
  </si>
  <si>
    <t>9898323533</t>
  </si>
  <si>
    <t>GJ01VE7212</t>
  </si>
  <si>
    <t>MD625BK21L1H00883</t>
  </si>
  <si>
    <t>BK2HL1001265</t>
  </si>
  <si>
    <t>TVS RADEON 110 ES MAG REF BSVI</t>
  </si>
  <si>
    <t>TVS/1018</t>
  </si>
  <si>
    <t>RD904966717IN</t>
  </si>
  <si>
    <t>GJ3031TW0018868</t>
  </si>
  <si>
    <t>2017-10-27</t>
  </si>
  <si>
    <t>Mrs.RINAJOHNNYHAWARD</t>
  </si>
  <si>
    <t>JOHNNY</t>
  </si>
  <si>
    <t>S/D/O : JOHNNY, PLOT NO 42 ARADHANA NAGAR MEGHPAR, BORICHI ANJAR, N R SHIV TEMPAL, KUTCH</t>
  </si>
  <si>
    <t>370110</t>
  </si>
  <si>
    <t>8780995439</t>
  </si>
  <si>
    <t>GJ12DH8824</t>
  </si>
  <si>
    <t>MD626EG41H1L65122</t>
  </si>
  <si>
    <t>EG4LH1749239</t>
  </si>
  <si>
    <t>JUPITER LE 110 CC</t>
  </si>
  <si>
    <t>TVS/1019</t>
  </si>
  <si>
    <t>RD904966725IN</t>
  </si>
  <si>
    <t>UP3041UT0001237</t>
  </si>
  <si>
    <t>Uttar Pradesh</t>
  </si>
  <si>
    <t>2019-02-11</t>
  </si>
  <si>
    <t>Mr.SULTANKHAN</t>
  </si>
  <si>
    <t>MUKHTIYAR KHAN</t>
  </si>
  <si>
    <t>S/D/O : MUKHTIYAR KHAN, 22 PAHADI KALA, KHERAGARH, BEHIND OF PRIMARY SCHOOL, AGRA</t>
  </si>
  <si>
    <t>Agra</t>
  </si>
  <si>
    <t>283121</t>
  </si>
  <si>
    <t>hi</t>
  </si>
  <si>
    <t>7500102249</t>
  </si>
  <si>
    <t>UP80EA8451</t>
  </si>
  <si>
    <t>MD625GF11H1C08201</t>
  </si>
  <si>
    <t>GF1CH1608349</t>
  </si>
  <si>
    <t>TVS/1020</t>
  </si>
  <si>
    <t>RD904966734IN</t>
  </si>
  <si>
    <t>UP3038TW0019982</t>
  </si>
  <si>
    <t>2016-01-19</t>
  </si>
  <si>
    <t>Mr.CHHOTELAL</t>
  </si>
  <si>
    <t>RAM SARAN</t>
  </si>
  <si>
    <t>S/D/O : RAM SARAN, S/O RAM SARAN, H NO 1 LAKHANIYA KALAN, NEAR STORE HAND PUMP, JAIKAR KALAN TEH LALGANJ</t>
  </si>
  <si>
    <t>Mirzapur</t>
  </si>
  <si>
    <t>231211</t>
  </si>
  <si>
    <t>9120876113</t>
  </si>
  <si>
    <t>MD625DF54F3P47685</t>
  </si>
  <si>
    <t>CF5PF1206207</t>
  </si>
  <si>
    <t>TVS/1021</t>
  </si>
  <si>
    <t>RD904966748IN</t>
  </si>
  <si>
    <t>AS3072TW0034547</t>
  </si>
  <si>
    <t>2019-05-16</t>
  </si>
  <si>
    <t>Mr.AMIR HUSSAIN</t>
  </si>
  <si>
    <t>GELLA MIAH</t>
  </si>
  <si>
    <t xml:space="preserve">S/D/O : GELLA MIAH, VILL - FULERCHAR PT - II, DIST - DHUBRI, MOSZID MOKTAB, </t>
  </si>
  <si>
    <t>Dhubri</t>
  </si>
  <si>
    <t>783135</t>
  </si>
  <si>
    <t>9678927504</t>
  </si>
  <si>
    <t>MD637CE74K2C04223</t>
  </si>
  <si>
    <t>CE7CK2403956</t>
  </si>
  <si>
    <t>APACHE RTR ABS NEW</t>
  </si>
  <si>
    <t>TVS/1022</t>
  </si>
  <si>
    <t>RD904966751IN</t>
  </si>
  <si>
    <t>RJ3036TW0038012</t>
  </si>
  <si>
    <t>2019-12-11</t>
  </si>
  <si>
    <t>Mr.PREM SINGH</t>
  </si>
  <si>
    <t>GYASIRAM</t>
  </si>
  <si>
    <t xml:space="preserve">S/D/O : GYASIRAM, VILL KASOT BHARATPUR, BHARATPUR, NR GOVT SCHOOL, </t>
  </si>
  <si>
    <t>Bharatpur</t>
  </si>
  <si>
    <t>321202</t>
  </si>
  <si>
    <t>9694569412</t>
  </si>
  <si>
    <t>RJ05JS0365</t>
  </si>
  <si>
    <t>MD621JP11K2L00852</t>
  </si>
  <si>
    <t>DP1LK2602517</t>
  </si>
  <si>
    <t>TVS/1023</t>
  </si>
  <si>
    <t>RD904966765IN</t>
  </si>
  <si>
    <t>UP3035TW0025667</t>
  </si>
  <si>
    <t>2018-11-30</t>
  </si>
  <si>
    <t>Mr.NOORMOHAMMAD</t>
  </si>
  <si>
    <t>MOHAMMAD YUSUF</t>
  </si>
  <si>
    <t>S/D/O : MOHAMMAD YUSUF, HNO HASANPUR LUNARI, CHARTHAWAL, MADINA MASJID, MZN</t>
  </si>
  <si>
    <t>Muzaffarnagar</t>
  </si>
  <si>
    <t>251311</t>
  </si>
  <si>
    <t>8439744213</t>
  </si>
  <si>
    <t>UP12AX5034</t>
  </si>
  <si>
    <t>MD625PF52J3N96033</t>
  </si>
  <si>
    <t>NF5LJ17C3469</t>
  </si>
  <si>
    <t>TVS/1024</t>
  </si>
  <si>
    <t>RD904966779IN</t>
  </si>
  <si>
    <t>BR3068TW0014580</t>
  </si>
  <si>
    <t>Bihar</t>
  </si>
  <si>
    <t>2021-04-19</t>
  </si>
  <si>
    <t>Mr.SATYAMKUMAR</t>
  </si>
  <si>
    <t>DEVENDRA SINGH</t>
  </si>
  <si>
    <t>S/D/O : DEVENDRA SINGH, AT-SONBARASA PO-LATIPUR, PS-BATHANAHA, NEAR RAM JANKI MANDIR, DIST-SITAMARHI</t>
  </si>
  <si>
    <t>Sitamarhi</t>
  </si>
  <si>
    <t>843322</t>
  </si>
  <si>
    <t>6205776203</t>
  </si>
  <si>
    <t>BR30AB6808</t>
  </si>
  <si>
    <t>MD634AE86M2C04149</t>
  </si>
  <si>
    <t>AE8CM2003795</t>
  </si>
  <si>
    <t>TVS/1025</t>
  </si>
  <si>
    <t>RD904966782IN</t>
  </si>
  <si>
    <t>HR3047TW0073449</t>
  </si>
  <si>
    <t>Haryana</t>
  </si>
  <si>
    <t>2020-11-21</t>
  </si>
  <si>
    <t>Mr.SUKHBIR KISHMER</t>
  </si>
  <si>
    <t>KISHMER SINGH</t>
  </si>
  <si>
    <t>S/D/O : KISHMER SINGH, DADUPUR 105, JALLOPUR, BUS STAND, FATEHABAD</t>
  </si>
  <si>
    <t>Hisar</t>
  </si>
  <si>
    <t>125051</t>
  </si>
  <si>
    <t>8607585122</t>
  </si>
  <si>
    <t>HR59E8194</t>
  </si>
  <si>
    <t>MD626CG55L3L05399</t>
  </si>
  <si>
    <t>CG5LL3603377</t>
  </si>
  <si>
    <t>JUPITER BSVI BASIC</t>
  </si>
  <si>
    <t>TVS/1026</t>
  </si>
  <si>
    <t>RD904966796IN</t>
  </si>
  <si>
    <t>UP3043TW0020593</t>
  </si>
  <si>
    <t>2016-06-25</t>
  </si>
  <si>
    <t>Mr.ANURUDDHAKUMAR</t>
  </si>
  <si>
    <t>RAMFER</t>
  </si>
  <si>
    <t>S/D/O : RAMFER, S/O RAMFER, PEETHAPUR KUDIYA CHITON, NEAR KADNAPUR, AMBEDKAR NAGAR</t>
  </si>
  <si>
    <t>Ambedkar Nagar</t>
  </si>
  <si>
    <t>224168</t>
  </si>
  <si>
    <t>7570837324</t>
  </si>
  <si>
    <t>UP45W8790</t>
  </si>
  <si>
    <t>MD625MF1XG1E37392</t>
  </si>
  <si>
    <t>EF1EG1037755</t>
  </si>
  <si>
    <t>VICTOR 110CC DRUM</t>
  </si>
  <si>
    <t>TVS/1027</t>
  </si>
  <si>
    <t>RD904966805IN</t>
  </si>
  <si>
    <t>UP3052TW0043321</t>
  </si>
  <si>
    <t>2019-11-27</t>
  </si>
  <si>
    <t>Mr.DEVENDRA SINGH</t>
  </si>
  <si>
    <t>VISHAMBAR SINGH</t>
  </si>
  <si>
    <t xml:space="preserve">S/D/O : VISHAMBAR SINGH, H NO 27 ESANPUR KHARIKWARI ANOOPSAHAHAR BULANDSHAH, , NEAR SHIV MANDIR, </t>
  </si>
  <si>
    <t>Bulandshahr</t>
  </si>
  <si>
    <t>203393</t>
  </si>
  <si>
    <t>7617774243</t>
  </si>
  <si>
    <t>MD621HP19K1L12049</t>
  </si>
  <si>
    <t>DP1LK1501152</t>
  </si>
  <si>
    <t>TVS XL 100 ITS</t>
  </si>
  <si>
    <t>TVS/1028</t>
  </si>
  <si>
    <t>RD904966819IN</t>
  </si>
  <si>
    <t>RJ3037TW0032004</t>
  </si>
  <si>
    <t>2019-11-07</t>
  </si>
  <si>
    <t>Mr.SHUBH KARAN CHARAN</t>
  </si>
  <si>
    <t>BHANWAR DAN</t>
  </si>
  <si>
    <t xml:space="preserve">S/D/O : BHANWAR DAN, NIMDI, CHARNAN, KALA BHERU MANDIR KE PASS, </t>
  </si>
  <si>
    <t>Churu</t>
  </si>
  <si>
    <t>331502</t>
  </si>
  <si>
    <t>7357979580</t>
  </si>
  <si>
    <t>RJ44SE8083</t>
  </si>
  <si>
    <t>MD625HF16K1K00041</t>
  </si>
  <si>
    <t>KF1KK1600009</t>
  </si>
  <si>
    <t>TVS RADEON</t>
  </si>
  <si>
    <t>TVS/1029</t>
  </si>
  <si>
    <t>RD904966822IN</t>
  </si>
  <si>
    <t>UP3052TW02213</t>
  </si>
  <si>
    <t>2013-02-21</t>
  </si>
  <si>
    <t>Mr.DHARMENDRAKUMAR</t>
  </si>
  <si>
    <t>SORAJ</t>
  </si>
  <si>
    <t xml:space="preserve">S/D/O : SORAJ, S/O SORAJ 44 TEJALHEDA CHHAPAR, MUZAFFARNAGAR, NEAR SHIV MANDIR, </t>
  </si>
  <si>
    <t>251310</t>
  </si>
  <si>
    <t>9761922954</t>
  </si>
  <si>
    <t>UP12AC3943</t>
  </si>
  <si>
    <t>MD625SF48C1N05548</t>
  </si>
  <si>
    <t>CF4NC1005126</t>
  </si>
  <si>
    <t>PHOENIX 125CC DISC</t>
  </si>
  <si>
    <t>TVS/1030</t>
  </si>
  <si>
    <t>RD904966836IN</t>
  </si>
  <si>
    <t>BR3058TW0144191</t>
  </si>
  <si>
    <t>2019-11-29</t>
  </si>
  <si>
    <t>Mr.JAIKISHORE RAY</t>
  </si>
  <si>
    <t>RAMPRAGAS RAY</t>
  </si>
  <si>
    <t xml:space="preserve">S/D/O : RAMPRAGAS RAY,  DALAKWA DALKI, PO-DALAKAWA, TEMPLE, </t>
  </si>
  <si>
    <t>843330</t>
  </si>
  <si>
    <t>7050122567</t>
  </si>
  <si>
    <t>MD621HP18K2L01831</t>
  </si>
  <si>
    <t>CP1LK2804163</t>
  </si>
  <si>
    <t>TVS/1031</t>
  </si>
  <si>
    <t>RD904966840IN</t>
  </si>
  <si>
    <t>UP3041TW0026916</t>
  </si>
  <si>
    <t>Mr.DHARMENDRA KUMAR</t>
  </si>
  <si>
    <t>SURESH KUMAR</t>
  </si>
  <si>
    <t xml:space="preserve">S/D/O : SURESH KUMAR, AMBEDKAR NAGAR,NAINANA -BRAHMAN,AGRA, , MATA DEVI MANDIR KE PASS AND PANCHYAT GHAR, </t>
  </si>
  <si>
    <t>282009</t>
  </si>
  <si>
    <t>9634931354</t>
  </si>
  <si>
    <t>UP80EY7483</t>
  </si>
  <si>
    <t>MD625PF56K1AL5706</t>
  </si>
  <si>
    <t>NF5AK16L4169</t>
  </si>
  <si>
    <t>TVS/1032</t>
  </si>
  <si>
    <t>RD904966853IN</t>
  </si>
  <si>
    <t>UP3041TW0026903</t>
  </si>
  <si>
    <t>Mrs.MALTI KSHETRPAL</t>
  </si>
  <si>
    <t>KSHETRPAL</t>
  </si>
  <si>
    <t xml:space="preserve">S/D/O : KSHETRPAL, KAGAROL, KAGAROL AGRA, STATE BANK OF INDIA KE PASS, </t>
  </si>
  <si>
    <t>283119</t>
  </si>
  <si>
    <t>9568722686</t>
  </si>
  <si>
    <t>UP80EZ5405</t>
  </si>
  <si>
    <t>MD625HF12J1P02995</t>
  </si>
  <si>
    <t>KF1PJ1803074</t>
  </si>
  <si>
    <t>TVS/1033</t>
  </si>
  <si>
    <t>RD904966867IN</t>
  </si>
  <si>
    <t>UP3052TW0048750</t>
  </si>
  <si>
    <t>2020-09-29</t>
  </si>
  <si>
    <t>Mr.RAMGOPAL RATAN LAL</t>
  </si>
  <si>
    <t>RATAN LAL</t>
  </si>
  <si>
    <t>S/D/O : RATAN LAL, HOUSE NO.494, SIDDHNAGALA RIWARA, DEVI MANDIR, BULANDSHAHR</t>
  </si>
  <si>
    <t>203394</t>
  </si>
  <si>
    <t>7830984678</t>
  </si>
  <si>
    <t>UP13BQ2282</t>
  </si>
  <si>
    <t>MD621BP27L3H08060</t>
  </si>
  <si>
    <t>BP2HL2208208</t>
  </si>
  <si>
    <t>TVS XL 100 HD ITS BSVI</t>
  </si>
  <si>
    <t>TVS/1034</t>
  </si>
  <si>
    <t>RD904966875IN</t>
  </si>
  <si>
    <t>UP3052TW0023551</t>
  </si>
  <si>
    <t>2018-01-30</t>
  </si>
  <si>
    <t>Mr.CHAHATALI</t>
  </si>
  <si>
    <t>WAHID ALI</t>
  </si>
  <si>
    <t>S/D/O : WAHID ALI, S/O WAHID ALI, 149 SAINA SIMBHAVLI GARHMUKTESHWAR, NR TALAB, HAPUR</t>
  </si>
  <si>
    <t>Ghaziabad</t>
  </si>
  <si>
    <t>245207</t>
  </si>
  <si>
    <t>9639167897</t>
  </si>
  <si>
    <t>MD625GF11H1G51559</t>
  </si>
  <si>
    <t>GF1GH1451722</t>
  </si>
  <si>
    <t>TVS/1035</t>
  </si>
  <si>
    <t>RD904966884IN</t>
  </si>
  <si>
    <t>MP3014TW0039455</t>
  </si>
  <si>
    <t>Madhya Pradesh</t>
  </si>
  <si>
    <t>2017-12-15</t>
  </si>
  <si>
    <t>Mr.SAKARAMKALAM</t>
  </si>
  <si>
    <t>RAJARAM</t>
  </si>
  <si>
    <t xml:space="preserve">S/D/O : RAJARAM, KHARI, TIMARNI, NEAR ROAD, </t>
  </si>
  <si>
    <t>Betul</t>
  </si>
  <si>
    <t>461228</t>
  </si>
  <si>
    <t>9406572293</t>
  </si>
  <si>
    <t>MP47MJ2697</t>
  </si>
  <si>
    <t>MD625PF55H1H73392</t>
  </si>
  <si>
    <t>NF5HH1975360</t>
  </si>
  <si>
    <t>TVS SPORT CVTI ES</t>
  </si>
  <si>
    <t>TVS/1036</t>
  </si>
  <si>
    <t>RD904966898IN</t>
  </si>
  <si>
    <t>UP3041TW0024460</t>
  </si>
  <si>
    <t>2018-10-30</t>
  </si>
  <si>
    <t>Mr.ATALIHABIB</t>
  </si>
  <si>
    <t>HABIB</t>
  </si>
  <si>
    <t>S/D/O : HABIB, NAGARIYA, BHADROLI, NEAR BY POLICE CHOKI, AGRA</t>
  </si>
  <si>
    <t>283113</t>
  </si>
  <si>
    <t>7500835661</t>
  </si>
  <si>
    <t>UP80EU8150</t>
  </si>
  <si>
    <t>MD625PF53J3F25572</t>
  </si>
  <si>
    <t>NFEJ1739854</t>
  </si>
  <si>
    <t>TVS/1037</t>
  </si>
  <si>
    <t>RD904966907IN</t>
  </si>
  <si>
    <t>UP3052TW0043072</t>
  </si>
  <si>
    <t>2019-11-22</t>
  </si>
  <si>
    <t>Mr.BOBY KUMAR</t>
  </si>
  <si>
    <t>MAHAVEER SINGH</t>
  </si>
  <si>
    <t xml:space="preserve">S/D/O : MAHAVEER SINGH, 47 NAVIPUR KHEDIYA KASER KALAN, THANA NARORA BULANDSHAHR, NEAR SHIV MANDIR, </t>
  </si>
  <si>
    <t>9528456318</t>
  </si>
  <si>
    <t>MD625HF1XK3K44421</t>
  </si>
  <si>
    <t>KF1KK3X12779</t>
  </si>
  <si>
    <t>TVS/1038</t>
  </si>
  <si>
    <t>RD904966915IN</t>
  </si>
  <si>
    <t>UP3040TW0030051</t>
  </si>
  <si>
    <t>2019-04-19</t>
  </si>
  <si>
    <t>Mr.VINOD MANOHAR LAL</t>
  </si>
  <si>
    <t>MANOHAR LAL</t>
  </si>
  <si>
    <t xml:space="preserve">S/D/O : MANOHAR LAL, BAHERIYA, GHURWARA, HANDPUMP, </t>
  </si>
  <si>
    <t>Raebareli</t>
  </si>
  <si>
    <t>229125</t>
  </si>
  <si>
    <t>9264988972</t>
  </si>
  <si>
    <t>UP33BE7655</t>
  </si>
  <si>
    <t>MD625FF13J3N33806</t>
  </si>
  <si>
    <t>FF1LJ10C2713</t>
  </si>
  <si>
    <t>STAR CITY PLUS ES MAG</t>
  </si>
  <si>
    <t>TVS/1039</t>
  </si>
  <si>
    <t>RD904966924IN</t>
  </si>
  <si>
    <t>UP3064TW0016951</t>
  </si>
  <si>
    <t>2017-06-21</t>
  </si>
  <si>
    <t>Mr.GULVIRSINGH</t>
  </si>
  <si>
    <t>SHYAMVEER SINGH</t>
  </si>
  <si>
    <t>S/D/O : SHYAMVEER SINGH, S/O SHYAMVEER SINGH, SAPERA BHANPUR HARDUAGNJ, ELECTRIC POLE, KOIL ALIGARH</t>
  </si>
  <si>
    <t>Aligarh</t>
  </si>
  <si>
    <t>202125</t>
  </si>
  <si>
    <t>8449334692</t>
  </si>
  <si>
    <t>UP81BR6453</t>
  </si>
  <si>
    <t>MD625PF54H3D71917</t>
  </si>
  <si>
    <t>PF5DH1X11570</t>
  </si>
  <si>
    <t>TVS/1040</t>
  </si>
  <si>
    <t>RD904966938IN</t>
  </si>
  <si>
    <t>UP3052TW0035981</t>
  </si>
  <si>
    <t>Mr.KARAN RAMKUMAR</t>
  </si>
  <si>
    <t>RAMKUMAR</t>
  </si>
  <si>
    <t xml:space="preserve">S/D/O : RAMKUMAR, VILLAGE RATANGARH, NOORPUR, SCHOOL, </t>
  </si>
  <si>
    <t>Bijnor</t>
  </si>
  <si>
    <t>246734</t>
  </si>
  <si>
    <t>7248625114</t>
  </si>
  <si>
    <t>UP20BM5958</t>
  </si>
  <si>
    <t>MD625FF16K1A05435</t>
  </si>
  <si>
    <t>FF1AK1X00515</t>
  </si>
  <si>
    <t>TVS/1041</t>
  </si>
  <si>
    <t>RD904966941IN</t>
  </si>
  <si>
    <t>UP3035TW0021074</t>
  </si>
  <si>
    <t>2018-06-21</t>
  </si>
  <si>
    <t>Mr.ARJUNHARISHCHANDRA</t>
  </si>
  <si>
    <t>HARISHCHANDRA</t>
  </si>
  <si>
    <t>S/D/O : HARISHCHANDRA, BRAHAMPUR KHANPUR, PRATAP PUR, NR SHIV MANDIR, HARIDWAR</t>
  </si>
  <si>
    <t>Haridwar</t>
  </si>
  <si>
    <t>247671</t>
  </si>
  <si>
    <t>7618463546</t>
  </si>
  <si>
    <t>UK08AR6009</t>
  </si>
  <si>
    <t>MD625PF56J3E19939</t>
  </si>
  <si>
    <t>NF5DJ1125749</t>
  </si>
  <si>
    <t>TVS/1042</t>
  </si>
  <si>
    <t>RD904966955IN</t>
  </si>
  <si>
    <t>RJ3016TW0039881</t>
  </si>
  <si>
    <t>2019-10-22</t>
  </si>
  <si>
    <t>Mr.HARI SINGH NEHARA</t>
  </si>
  <si>
    <t>MOOL CHAND NEHARA</t>
  </si>
  <si>
    <t xml:space="preserve">S/D/O : MOOL CHAND NEHARA, VILLAGE - PACHAR, TEH- DANTARAMGARH, DIST-SIKAR ANTARAMGARH, NEAR GOVT SCHOOL, </t>
  </si>
  <si>
    <t>Sikar</t>
  </si>
  <si>
    <t>332703</t>
  </si>
  <si>
    <t>9602426165</t>
  </si>
  <si>
    <t>RJ23LS6157</t>
  </si>
  <si>
    <t>MD637CE7XK2H06170</t>
  </si>
  <si>
    <t>CE7HK2606068</t>
  </si>
  <si>
    <t>APACHE 4V RTR 160 DISC ABS</t>
  </si>
  <si>
    <t>TVS/1043</t>
  </si>
  <si>
    <t>RD904966969IN</t>
  </si>
  <si>
    <t>UP3052TW0032703</t>
  </si>
  <si>
    <t>2018-12-31</t>
  </si>
  <si>
    <t>Mr.SURESHDURGAPAL</t>
  </si>
  <si>
    <t>DURGAPAL</t>
  </si>
  <si>
    <t>S/D/O : DURGAPAL, 901 CHAUDHERA DIBAI DIBAI, DIBAI, NEAR SHIV MANDIR, BULANDSHAHR</t>
  </si>
  <si>
    <t>203001</t>
  </si>
  <si>
    <t>8218442276</t>
  </si>
  <si>
    <t>UP13BF0248</t>
  </si>
  <si>
    <t>MD621EP16J1K11080</t>
  </si>
  <si>
    <t>CP1KJ1490237</t>
  </si>
  <si>
    <t>TVS/1044</t>
  </si>
  <si>
    <t>RD904966972IN</t>
  </si>
  <si>
    <t>BR3058TW0086796</t>
  </si>
  <si>
    <t>2018-10-31</t>
  </si>
  <si>
    <t>Mr.UPENTHAKUR</t>
  </si>
  <si>
    <t>GHUNGHRU THAKUR</t>
  </si>
  <si>
    <t>S/D/O : GHUNGHRU THAKUR, KATHITOLA, KANHARIA, NEAR SCHOOL, DAGARUA PURNIA</t>
  </si>
  <si>
    <t>Purnia</t>
  </si>
  <si>
    <t>854315</t>
  </si>
  <si>
    <t>7091506245</t>
  </si>
  <si>
    <t>MD625GF13J1G45929</t>
  </si>
  <si>
    <t>LF1GJ1226280</t>
  </si>
  <si>
    <t>TVS/1045</t>
  </si>
  <si>
    <t>RD904966986IN</t>
  </si>
  <si>
    <t>UP3035TW0038469</t>
  </si>
  <si>
    <t>2020-09-19</t>
  </si>
  <si>
    <t>Mr.ISRAIL ISMAIL</t>
  </si>
  <si>
    <t>ISMAIL</t>
  </si>
  <si>
    <t>S/D/O : ISMAIL, H.NO 540 PAKKA BAG KHATAULI MUZAFFARNAGAR, KHATAULI MUZAFFARNAGAR, RAM MANDIR, MUZAFFARNAGAR</t>
  </si>
  <si>
    <t>251201</t>
  </si>
  <si>
    <t>7900509142</t>
  </si>
  <si>
    <t>UP12BE2401</t>
  </si>
  <si>
    <t>MD621BP23L2H10572</t>
  </si>
  <si>
    <t>BP2HL4230688</t>
  </si>
  <si>
    <t>TVS/1046</t>
  </si>
  <si>
    <t>RD904966990IN</t>
  </si>
  <si>
    <t>UP3064TW0026514</t>
  </si>
  <si>
    <t>Mr.VIMAL KUMAR</t>
  </si>
  <si>
    <t>GENDA LAL</t>
  </si>
  <si>
    <t xml:space="preserve">S/D/O : GENDA LAL, KIDHARA, HARDUAGANJ, HAND PUMP, </t>
  </si>
  <si>
    <t>7249966447</t>
  </si>
  <si>
    <t>UP81CB6440</t>
  </si>
  <si>
    <t>MD625PF50J3L87213</t>
  </si>
  <si>
    <t>NF5LJ19B1286</t>
  </si>
  <si>
    <t>TVS/1047</t>
  </si>
  <si>
    <t>RD904967006IN</t>
  </si>
  <si>
    <t>RJ3037TW0031711</t>
  </si>
  <si>
    <t>2019-10-31</t>
  </si>
  <si>
    <t>Mr.SANDEEP DUNGAR RAM</t>
  </si>
  <si>
    <t>DUNGAR RAM</t>
  </si>
  <si>
    <t xml:space="preserve">S/D/O : DUNGAR RAM, 172, NM CHILDREN SCHOOL KI EAST DIV , WARD NO 26,, HANUM, RAMDEV MANDIR, </t>
  </si>
  <si>
    <t>Hanumangarh</t>
  </si>
  <si>
    <t>335513</t>
  </si>
  <si>
    <t>7023164842</t>
  </si>
  <si>
    <t>RJ31SR0053</t>
  </si>
  <si>
    <t>MD634DE62K2E04135</t>
  </si>
  <si>
    <t>DE6EK2803726</t>
  </si>
  <si>
    <t>TVS/1048</t>
  </si>
  <si>
    <t>RD904967010IN</t>
  </si>
  <si>
    <t>UP3064TW0028951</t>
  </si>
  <si>
    <t>2019-04-30</t>
  </si>
  <si>
    <t>Mr.RAJESH URF RAJU</t>
  </si>
  <si>
    <t>BABU RAM</t>
  </si>
  <si>
    <t xml:space="preserve">S/D/O : BABU RAM, KANAU HASAYAN, , NEAR SHIV TEMPLE, </t>
  </si>
  <si>
    <t>Hathras</t>
  </si>
  <si>
    <t>204212</t>
  </si>
  <si>
    <t>7060970421</t>
  </si>
  <si>
    <t>UP86AA6441</t>
  </si>
  <si>
    <t>MD625PF56J3G34009</t>
  </si>
  <si>
    <t>NF5FJ1953956</t>
  </si>
  <si>
    <t>TVS/1049</t>
  </si>
  <si>
    <t>RD904967023IN</t>
  </si>
  <si>
    <t>UP3052TW0040747</t>
  </si>
  <si>
    <t>2019-10-14</t>
  </si>
  <si>
    <t>Mr.MOHD SHAD</t>
  </si>
  <si>
    <t>JULFUKAR AHMAD</t>
  </si>
  <si>
    <t xml:space="preserve">S/D/O : JULFUKAR AHMAD, MOHALLA LAL SARAI, NAGINA, MASHJID, </t>
  </si>
  <si>
    <t>246762</t>
  </si>
  <si>
    <t>9694910730</t>
  </si>
  <si>
    <t>UP20BP8077</t>
  </si>
  <si>
    <t>MD625HF1XK3H35073</t>
  </si>
  <si>
    <t>KF1HK3305547</t>
  </si>
  <si>
    <t>TVS/1050</t>
  </si>
  <si>
    <t>RD904967037IN</t>
  </si>
  <si>
    <t>UP3033TW0035814</t>
  </si>
  <si>
    <t>2019-09-27</t>
  </si>
  <si>
    <t>Mr.PUSHPENDER SINGH</t>
  </si>
  <si>
    <t>BRIJPAL SINGH</t>
  </si>
  <si>
    <t xml:space="preserve">S/D/O : BRIJPAL SINGH, VILLAGE SABALPUR POST MASSAD JALALABAD, SHAHJAHANPUR, DURGA MANDIR, </t>
  </si>
  <si>
    <t>Shahjahanpur</t>
  </si>
  <si>
    <t>242221</t>
  </si>
  <si>
    <t>8303868309</t>
  </si>
  <si>
    <t>UP27AS5359</t>
  </si>
  <si>
    <t>MD625GF16K1F00983</t>
  </si>
  <si>
    <t>LF1FK1X00337</t>
  </si>
  <si>
    <t>TVS/1051</t>
  </si>
  <si>
    <t>RD904967045IN</t>
  </si>
  <si>
    <t>UP3074TW0005146</t>
  </si>
  <si>
    <t>2016-10-17</t>
  </si>
  <si>
    <t>Mr.MORIYAJ</t>
  </si>
  <si>
    <t>BHURA</t>
  </si>
  <si>
    <t>S/D/O : BHURA, S/O BHURA, VILL GOSAMPUR NANKAR TEH SHAHABAD, MASJID, RAMPUR MASJID</t>
  </si>
  <si>
    <t>Rampur</t>
  </si>
  <si>
    <t>244922</t>
  </si>
  <si>
    <t>9719578684</t>
  </si>
  <si>
    <t>MD634KE42G2E38070</t>
  </si>
  <si>
    <t>OE4EG2985365</t>
  </si>
  <si>
    <t>APACHE RTR 160 REAR DISC NEW</t>
  </si>
  <si>
    <t>TVS/1052</t>
  </si>
  <si>
    <t>RD904967054IN</t>
  </si>
  <si>
    <t>JH3053TW0056533</t>
  </si>
  <si>
    <t>Jharkhand</t>
  </si>
  <si>
    <t>2019-04-10</t>
  </si>
  <si>
    <t>Mr.SADIK ANSARI</t>
  </si>
  <si>
    <t>RAHMDI ANSARI</t>
  </si>
  <si>
    <t xml:space="preserve">S/D/O : RAHMDI ANSARI, VILLAGE HOCHER TALAB MOHALLA HOCHAR RANCHI, , TALAB, </t>
  </si>
  <si>
    <t>Ranchi</t>
  </si>
  <si>
    <t>834006</t>
  </si>
  <si>
    <t>8298187796</t>
  </si>
  <si>
    <t>JH01DK5038</t>
  </si>
  <si>
    <t>MD626AG72K2A10936</t>
  </si>
  <si>
    <t>AG7AK2426176</t>
  </si>
  <si>
    <t>NTORQ 125CC DISC</t>
  </si>
  <si>
    <t>TVS/1053</t>
  </si>
  <si>
    <t>RD904967068IN</t>
  </si>
  <si>
    <t>RJ3016TW0048908</t>
  </si>
  <si>
    <t>2021-08-30</t>
  </si>
  <si>
    <t>Mr.MOZAFAR</t>
  </si>
  <si>
    <t>IMAMUDEEN</t>
  </si>
  <si>
    <t xml:space="preserve">S/D/O : IMAMUDEEN, 182 ASHRAF COLONY JAVAHAR PULIK SCHOOL NAI KI THAD, LALWAS CRPF CAMPUS LALWAS JAIPUR, JAVAHAR PULIK SCHOOL, </t>
  </si>
  <si>
    <t>Jaipur</t>
  </si>
  <si>
    <t>302027</t>
  </si>
  <si>
    <t>7849864856</t>
  </si>
  <si>
    <t>RJ14KG1933</t>
  </si>
  <si>
    <t>MD625BK29M3A03516</t>
  </si>
  <si>
    <t>BK2AM3X03181</t>
  </si>
  <si>
    <t>TVS/1054</t>
  </si>
  <si>
    <t>RD904967071IN</t>
  </si>
  <si>
    <t>RJ3037TW0037201</t>
  </si>
  <si>
    <t>2022-05-16</t>
  </si>
  <si>
    <t>2021-09-18</t>
  </si>
  <si>
    <t>Mr.HUKMARAM</t>
  </si>
  <si>
    <t>DANA RAM SAIN</t>
  </si>
  <si>
    <t xml:space="preserve">S/D/O : DANA RAM SAIN, CHARIYAN, SUJANGARH, CHURU, , PABU G KA MANDIR, </t>
  </si>
  <si>
    <t>331506</t>
  </si>
  <si>
    <t>7229841510</t>
  </si>
  <si>
    <t>RJ44SF6466</t>
  </si>
  <si>
    <t>MD625CK20M3G05985</t>
  </si>
  <si>
    <t>AK2GM3702606</t>
  </si>
  <si>
    <t>TVS SPORT ELS BSVI</t>
  </si>
  <si>
    <t>TVS/1055</t>
  </si>
  <si>
    <t>RD904967085IN</t>
  </si>
  <si>
    <t>UP3052TW0040266</t>
  </si>
  <si>
    <t>Mr.NISAR SAIFI</t>
  </si>
  <si>
    <t>NASRUDDIN</t>
  </si>
  <si>
    <t xml:space="preserve">S/D/O : NASRUDDIN, VILLAGE MALAKPUR, TEH ANUPSHAHR, MASJID, </t>
  </si>
  <si>
    <t>203390</t>
  </si>
  <si>
    <t>8077783782</t>
  </si>
  <si>
    <t>UP13BK7675</t>
  </si>
  <si>
    <t>MD625HF12K3G32536</t>
  </si>
  <si>
    <t>KF1GK1810505</t>
  </si>
  <si>
    <t>TVS/1056</t>
  </si>
  <si>
    <t>RD904967099IN</t>
  </si>
  <si>
    <t>BR3068TW0009139</t>
  </si>
  <si>
    <t>2021-01-28</t>
  </si>
  <si>
    <t>Mr.PANKAJ KUMAR</t>
  </si>
  <si>
    <t>SHAMBHU RAY</t>
  </si>
  <si>
    <t>S/D/O : SHAMBHU RAY, AT-PANCHHOR PO-RIGA, PS-RIGA, NEAR JOGI ASHTAN, DIST-SITAMARHI</t>
  </si>
  <si>
    <t>843327</t>
  </si>
  <si>
    <t>9508874263</t>
  </si>
  <si>
    <t>BR30AB3812</t>
  </si>
  <si>
    <t>MD634AE84M2A08520</t>
  </si>
  <si>
    <t>AE8AM2308484</t>
  </si>
  <si>
    <t>APACHE RTR 160 2V BSVI DISC</t>
  </si>
  <si>
    <t>TVS/1057</t>
  </si>
  <si>
    <t>RD904967108IN</t>
  </si>
  <si>
    <t>BR3058TW0177947</t>
  </si>
  <si>
    <t>2020-11-23</t>
  </si>
  <si>
    <t>Mr.SUJIT MAHTO</t>
  </si>
  <si>
    <t>KUSHAHAR MAHTO</t>
  </si>
  <si>
    <t>S/D/O : KUSHAHAR MAHTO, AT-GOKHULA, PO-GOKHULA, NEAR CHOWK, PS-PARU</t>
  </si>
  <si>
    <t>Muzaffarpur</t>
  </si>
  <si>
    <t>843120</t>
  </si>
  <si>
    <t>9328066805</t>
  </si>
  <si>
    <t>BR06CN0922</t>
  </si>
  <si>
    <t>MD625CK26L3K00418</t>
  </si>
  <si>
    <t>AK2KL3300044</t>
  </si>
  <si>
    <t>TVS/1058</t>
  </si>
  <si>
    <t>RD904967111IN</t>
  </si>
  <si>
    <t>UP3052TW0038730</t>
  </si>
  <si>
    <t>2019-08-13</t>
  </si>
  <si>
    <t>Mr.MOHD ASIF</t>
  </si>
  <si>
    <t>ASHFAK AHMAD</t>
  </si>
  <si>
    <t xml:space="preserve">S/D/O : ASHFAK AHMAD, H NO 166 CHAR DIWARI PURVI ISLAMABAD, MEERUT, NEAR KHIJRA MASJID, </t>
  </si>
  <si>
    <t>Meerut</t>
  </si>
  <si>
    <t>250002</t>
  </si>
  <si>
    <t>8433130620</t>
  </si>
  <si>
    <t>UP15CZ7821</t>
  </si>
  <si>
    <t>MD625PF57K1D02576</t>
  </si>
  <si>
    <t>NF5DK1304009</t>
  </si>
  <si>
    <t>TVS/1059</t>
  </si>
  <si>
    <t>RD904967125IN</t>
  </si>
  <si>
    <t>UP3052TW0038762</t>
  </si>
  <si>
    <t>2019-08-14</t>
  </si>
  <si>
    <t>Mr.SHIV KUMAR</t>
  </si>
  <si>
    <t>NARAYAN DUTT</t>
  </si>
  <si>
    <t xml:space="preserve">S/D/O : NARAYAN DUTT, RAMPUR MANPUR RAMPUR, , NEAR SHIV MANDIR, </t>
  </si>
  <si>
    <t>203395</t>
  </si>
  <si>
    <t>6396912941</t>
  </si>
  <si>
    <t>UP13BK3458</t>
  </si>
  <si>
    <t>MD625PF59K1D00621</t>
  </si>
  <si>
    <t>NF5DK1800965</t>
  </si>
  <si>
    <t>TVS/1060</t>
  </si>
  <si>
    <t>RD904967139IN</t>
  </si>
  <si>
    <t>MP3012TW0103705</t>
  </si>
  <si>
    <t>2021-12-20</t>
  </si>
  <si>
    <t>Mr.ASHISHKUMARGURJAR</t>
  </si>
  <si>
    <t>DHARMENDRA PRASAD GURJAR</t>
  </si>
  <si>
    <t>S/D/O : DHARMENDRA PRASAD GURJAR, BANDHA, POST  BANDHA, MINROOD BANDHA, SINGRAULI</t>
  </si>
  <si>
    <t>Sidhi</t>
  </si>
  <si>
    <t>486886</t>
  </si>
  <si>
    <t>7974824811</t>
  </si>
  <si>
    <t>MD625AF94M1P01946</t>
  </si>
  <si>
    <t>AF9PM1601928</t>
  </si>
  <si>
    <t>TVS RAIDER DISC BSVI</t>
  </si>
  <si>
    <t>TVS/1061</t>
  </si>
  <si>
    <t>RD904967142IN</t>
  </si>
  <si>
    <t>RJ3016TW0045165</t>
  </si>
  <si>
    <t>Mr.MOHAMAD IKRAM</t>
  </si>
  <si>
    <t>MOHAMAD AYUB</t>
  </si>
  <si>
    <t>S/D/O : MOHAMAD AYUB, SHIV COLONY, WARD NO 01, GOVERNMENT SCHOOL, SIKAR ,RAJASTHAN</t>
  </si>
  <si>
    <t>Jhujhunu</t>
  </si>
  <si>
    <t>333001</t>
  </si>
  <si>
    <t>8619124909</t>
  </si>
  <si>
    <t>RJ23PS9121</t>
  </si>
  <si>
    <t>MD625BK29L3K01749</t>
  </si>
  <si>
    <t>BK2KL3801292</t>
  </si>
  <si>
    <t>TVS/1062</t>
  </si>
  <si>
    <t>RD904967156IN</t>
  </si>
  <si>
    <t>JH3053TW0016053</t>
  </si>
  <si>
    <t>2016-03-21</t>
  </si>
  <si>
    <t>Mr.CHHOTUMUDI</t>
  </si>
  <si>
    <t>SHAMBHU MUDI</t>
  </si>
  <si>
    <t>S/D/O : SHAMBHU MUDI, E BLOCK 2/4 , NAGARKOT, COMPLEX KADMA, NEAR ECC FLAT, JAMSHEDPUR , EAST SINGHBHUM</t>
  </si>
  <si>
    <t>East Singhbhum</t>
  </si>
  <si>
    <t>831005</t>
  </si>
  <si>
    <t>8294829422</t>
  </si>
  <si>
    <t>JH05BL2334</t>
  </si>
  <si>
    <t>MD626AG43G1B31283</t>
  </si>
  <si>
    <t>OG4BG1324790</t>
  </si>
  <si>
    <t>WEGO 110 CC</t>
  </si>
  <si>
    <t>TVS/1063</t>
  </si>
  <si>
    <t>RD904967160IN</t>
  </si>
  <si>
    <t>UP3052TW0046625</t>
  </si>
  <si>
    <t>2020-06-20</t>
  </si>
  <si>
    <t>Mr.SHIVA HAR PRASAD</t>
  </si>
  <si>
    <t>HAR PRASAD</t>
  </si>
  <si>
    <t>S/D/O : HAR PRASAD, MOH MADAR GATE, ANOOPSHAHR, WATER TANK, TEH ANOOPSHAHR</t>
  </si>
  <si>
    <t>9639957082</t>
  </si>
  <si>
    <t>UP13BP0515</t>
  </si>
  <si>
    <t>MD621BP25L1A12907</t>
  </si>
  <si>
    <t>BP2AL1214208</t>
  </si>
  <si>
    <t>TVS/1064</t>
  </si>
  <si>
    <t>RD904967173IN</t>
  </si>
  <si>
    <t>UP3040TW0047748</t>
  </si>
  <si>
    <t>2021-09-10</t>
  </si>
  <si>
    <t>Mr.MOHDNAIM</t>
  </si>
  <si>
    <t>JILFIKAR</t>
  </si>
  <si>
    <t>S/D/O : JILFIKAR, UNCHAKHERA KALA, SITAPUR, IISLAMIYA MASJIID, UNCHAKHERA KALAN</t>
  </si>
  <si>
    <t>Sitapur</t>
  </si>
  <si>
    <t>261302</t>
  </si>
  <si>
    <t>9511154315</t>
  </si>
  <si>
    <t>UP34BK0201</t>
  </si>
  <si>
    <t>MD625CK25M3G00734</t>
  </si>
  <si>
    <t>AK2GM3300223</t>
  </si>
  <si>
    <t>TVS/1065</t>
  </si>
  <si>
    <t>RD904967187IN</t>
  </si>
  <si>
    <t>RJ3037TW0026954</t>
  </si>
  <si>
    <t>2019-01-15</t>
  </si>
  <si>
    <t>Mr.RANJEET SINGH</t>
  </si>
  <si>
    <t>ANNE SINGH</t>
  </si>
  <si>
    <t xml:space="preserve">S/D/O : ANNE SINGH, H NO 70 KAKEDA KI POL, KARAMAL, NEAR MATA MANDIR, </t>
  </si>
  <si>
    <t>Pali</t>
  </si>
  <si>
    <t>306001</t>
  </si>
  <si>
    <t>8000210639</t>
  </si>
  <si>
    <t>RJ22LS6541</t>
  </si>
  <si>
    <t>MD625PF54J1H59473</t>
  </si>
  <si>
    <t>NF5HJ1775019</t>
  </si>
  <si>
    <t>TVS/1066</t>
  </si>
  <si>
    <t>RD904967195IN</t>
  </si>
  <si>
    <t>AS3072TW0037172</t>
  </si>
  <si>
    <t>2019-06-30</t>
  </si>
  <si>
    <t>Mr.KALIM  UDDIN</t>
  </si>
  <si>
    <t>SAMSUL HOQUE</t>
  </si>
  <si>
    <t xml:space="preserve">S/D/O : SAMSUL HOQUE, BALAR VITHA, JARABARI, L P SCHOOL, </t>
  </si>
  <si>
    <t>Nalbari</t>
  </si>
  <si>
    <t>781317</t>
  </si>
  <si>
    <t>7637053058</t>
  </si>
  <si>
    <t>AS15P9035</t>
  </si>
  <si>
    <t>MD625FF1XK3C65549</t>
  </si>
  <si>
    <t>FF1BK1300206</t>
  </si>
  <si>
    <t>TVS/1067</t>
  </si>
  <si>
    <t>RD904967200IN</t>
  </si>
  <si>
    <t>UP3041TW0027504</t>
  </si>
  <si>
    <t>Mr.SHIVNARAYAN YADAV</t>
  </si>
  <si>
    <t>RAM PRASAD</t>
  </si>
  <si>
    <t xml:space="preserve">S/D/O : RAM PRASAD, BEERAI JAHANABAD, BALIPUR, NEAR TRANSFARMER, </t>
  </si>
  <si>
    <t>205142</t>
  </si>
  <si>
    <t>7500357326</t>
  </si>
  <si>
    <t>UP83AV6117</t>
  </si>
  <si>
    <t>MD625PF57K1AL1678</t>
  </si>
  <si>
    <t>NF5PJ1500155</t>
  </si>
  <si>
    <t>TVS/1068</t>
  </si>
  <si>
    <t>RD904967213IN</t>
  </si>
  <si>
    <t>UP3052TW0033358</t>
  </si>
  <si>
    <t>2019-01-25</t>
  </si>
  <si>
    <t>Mr.WASEEMAHMAD</t>
  </si>
  <si>
    <t>NASEEM AHMAD</t>
  </si>
  <si>
    <t>S/D/O : NASEEM AHMAD, MOHALLA LAKDAHARAN, NEHTAUR DHAMPUR, SAHI MASJID, BIJNOR</t>
  </si>
  <si>
    <t>246733</t>
  </si>
  <si>
    <t>7895518813</t>
  </si>
  <si>
    <t>UP20BK6933</t>
  </si>
  <si>
    <t>MD625PF51J1E26342</t>
  </si>
  <si>
    <t>NF5EJ1532722</t>
  </si>
  <si>
    <t>TVS/1069</t>
  </si>
  <si>
    <t>RD904967227IN</t>
  </si>
  <si>
    <t>RJ3036TW0018390</t>
  </si>
  <si>
    <t>2016-11-16</t>
  </si>
  <si>
    <t>Mr.RAMNIVASVASUDEV</t>
  </si>
  <si>
    <t>VASUDEV</t>
  </si>
  <si>
    <t>S/D/O : VASUDEV, S/O VASUDEV, ATARI ATARI BHARATPUR, TRANCFRMER, BHARATPUR</t>
  </si>
  <si>
    <t>321001</t>
  </si>
  <si>
    <t>9772500694</t>
  </si>
  <si>
    <t>RJ05SX2751</t>
  </si>
  <si>
    <t>MD621CP10G2L01364</t>
  </si>
  <si>
    <t>OP1KG2605416</t>
  </si>
  <si>
    <t>TVS/1070</t>
  </si>
  <si>
    <t>RD904967235IN</t>
  </si>
  <si>
    <t>UP3035TW0025383</t>
  </si>
  <si>
    <t>2018-11-26</t>
  </si>
  <si>
    <t>Mr.ISRAIL JAHUR</t>
  </si>
  <si>
    <t>JAHUR</t>
  </si>
  <si>
    <t xml:space="preserve">S/D/O : JAHUR, PEERPURA, MANGLOUR TOWN, MASZID, </t>
  </si>
  <si>
    <t>247656</t>
  </si>
  <si>
    <t>9368235982</t>
  </si>
  <si>
    <t>UK17K1076</t>
  </si>
  <si>
    <t>MD625PF5XJ1LB1117</t>
  </si>
  <si>
    <t>NF5LJ16C1431</t>
  </si>
  <si>
    <t>TVS/1071</t>
  </si>
  <si>
    <t>RD904967244IN</t>
  </si>
  <si>
    <t>RJ3037TW0036487</t>
  </si>
  <si>
    <t>2021-06-22</t>
  </si>
  <si>
    <t>Mr.RAMLAL</t>
  </si>
  <si>
    <t>BABU LAL</t>
  </si>
  <si>
    <t>S/D/O : BABU LAL, 110, SHASTRI NAGAR, JALORE, NEAR TRAFFIC POLICE THANA, TEH, JALORE   DIST,  JALORE</t>
  </si>
  <si>
    <t>Jalor</t>
  </si>
  <si>
    <t>343001</t>
  </si>
  <si>
    <t>7357582586</t>
  </si>
  <si>
    <t>RJ16SP6828</t>
  </si>
  <si>
    <t>MD637ET1XM2C01341</t>
  </si>
  <si>
    <t>DT1CM2301306</t>
  </si>
  <si>
    <t>APACHE RTR 200 4V BSVI 1CH ABS</t>
  </si>
  <si>
    <t>TVS/1072</t>
  </si>
  <si>
    <t>RD904967258IN</t>
  </si>
  <si>
    <t>MP3012TW0099298</t>
  </si>
  <si>
    <t>2021-08-27</t>
  </si>
  <si>
    <t>Mr.JAGJEEWANSUDIN</t>
  </si>
  <si>
    <t>SUDIN</t>
  </si>
  <si>
    <t>S/D/O : SUDIN, DUDHMANIYA, DUDHAMANIYA SINGRAULI, GOVT SCHOOL, CHITRANGI</t>
  </si>
  <si>
    <t>486892</t>
  </si>
  <si>
    <t>7489785646</t>
  </si>
  <si>
    <t>MD625BK21M1E00116</t>
  </si>
  <si>
    <t>BK2EM1900133</t>
  </si>
  <si>
    <t>TVS/1073</t>
  </si>
  <si>
    <t>RD904967261IN</t>
  </si>
  <si>
    <t>RJ3036TW0040584</t>
  </si>
  <si>
    <t>Mr.LAXMAN SINGH</t>
  </si>
  <si>
    <t>NAND RAM</t>
  </si>
  <si>
    <t>S/D/O : NAND RAM, VILL, BARAULI DHAU, KAMAN, NEAR BAGH KE PASS, BHARATPUR</t>
  </si>
  <si>
    <t>321022</t>
  </si>
  <si>
    <t>8955792487</t>
  </si>
  <si>
    <t>RJ05LS3341</t>
  </si>
  <si>
    <t>MD634AE94L2H02101</t>
  </si>
  <si>
    <t>AE9HL2102094</t>
  </si>
  <si>
    <t>APACHE RTR 180 BSVI</t>
  </si>
  <si>
    <t>TVS/1074</t>
  </si>
  <si>
    <t>RD904967275IN</t>
  </si>
  <si>
    <t>UP3052TW0045328</t>
  </si>
  <si>
    <t>2020-02-26</t>
  </si>
  <si>
    <t>Mrs.NEERAJ SHARMA</t>
  </si>
  <si>
    <t>LALIT KUMAR</t>
  </si>
  <si>
    <t>S/D/O : LALIT KUMAR, CHIDAPURI, PILKHUA DEHAT GHAZIABAD PILKHAUWA POST OFFICE HAPU, GS MEDICAL COLLEGE, HAPUR</t>
  </si>
  <si>
    <t>245304</t>
  </si>
  <si>
    <t>9756578437</t>
  </si>
  <si>
    <t>UP37N2236</t>
  </si>
  <si>
    <t>MD626EG45K3F78220</t>
  </si>
  <si>
    <t>EG4FK3310661</t>
  </si>
  <si>
    <t>TVS JUPITER GRANDE DISC - LE</t>
  </si>
  <si>
    <t>TVS/1075</t>
  </si>
  <si>
    <t>RD904967289IN</t>
  </si>
  <si>
    <t>UP3052TW0034521</t>
  </si>
  <si>
    <t>2019-03-22</t>
  </si>
  <si>
    <t>Mr.ASIF MUSTKIM</t>
  </si>
  <si>
    <t>MUSTKIM</t>
  </si>
  <si>
    <t xml:space="preserve">S/D/O : MUSTKIM, WARD NO 5 MOHALLA VYAPARITYAN, SIWAL KHAS, MAHBA CHOPLA, </t>
  </si>
  <si>
    <t>8077981958</t>
  </si>
  <si>
    <t>UP15CX0691</t>
  </si>
  <si>
    <t>MD637CE75K2A02023</t>
  </si>
  <si>
    <t>CE7AK2301773</t>
  </si>
  <si>
    <t>TVS/1076</t>
  </si>
  <si>
    <t>RD904967292IN</t>
  </si>
  <si>
    <t>RJ3036TW0028875</t>
  </si>
  <si>
    <t>2018-10-08</t>
  </si>
  <si>
    <t>Mr.SANDONATH</t>
  </si>
  <si>
    <t>BADAM</t>
  </si>
  <si>
    <t>S/D/O : BADAM, 75 SAPERA BASTI KHEDIYA, JAT TH RUPAUAS, DEVI KA MANDIR, BHARATPUR</t>
  </si>
  <si>
    <t>321404</t>
  </si>
  <si>
    <t>8503048387</t>
  </si>
  <si>
    <t>RJ05DS5621</t>
  </si>
  <si>
    <t>MD621EP15J3H40656</t>
  </si>
  <si>
    <t>DP1FJ2418914</t>
  </si>
  <si>
    <t>TVS/1077</t>
  </si>
  <si>
    <t>RD904967301IN</t>
  </si>
  <si>
    <t>RJ3036TW0026738</t>
  </si>
  <si>
    <t>2018-07-24</t>
  </si>
  <si>
    <t>Mr.BHAGAWANSINGH</t>
  </si>
  <si>
    <t>TOTA RAM</t>
  </si>
  <si>
    <t>S/D/O : TOTA RAM, 319, MAIN ROAD KUMHER GALI, TALPHARA TALFARA, NR HANUMAN JI MANDIR, BHARATPUR</t>
  </si>
  <si>
    <t>9971893086</t>
  </si>
  <si>
    <t>RJ05DS0307</t>
  </si>
  <si>
    <t>MD621EP16J1F43877</t>
  </si>
  <si>
    <t>CP1FJ1530179</t>
  </si>
  <si>
    <t>TVS/1078</t>
  </si>
  <si>
    <t>RD904967315IN</t>
  </si>
  <si>
    <t>RJ3036TW0036140</t>
  </si>
  <si>
    <t>2019-08-22</t>
  </si>
  <si>
    <t>Mr.AVARAR ANWAR</t>
  </si>
  <si>
    <t>ANWAR</t>
  </si>
  <si>
    <t xml:space="preserve">S/D/O : ANWAR, BAYANA AJNOLI BHARATPUR LEHCHORA KALAN RAJASTHAN, , NEAR  MAJJID, </t>
  </si>
  <si>
    <t>321401</t>
  </si>
  <si>
    <t>6378626104</t>
  </si>
  <si>
    <t>RJ05GS7761</t>
  </si>
  <si>
    <t>MD625PF57K1C04051</t>
  </si>
  <si>
    <t>NF5CK1705432</t>
  </si>
  <si>
    <t>TVS/1079</t>
  </si>
  <si>
    <t>RD904967329IN</t>
  </si>
  <si>
    <t>RJ3037TW0038205</t>
  </si>
  <si>
    <t>2021-11-18</t>
  </si>
  <si>
    <t>Mr.NEMICHANDMAHAVIR</t>
  </si>
  <si>
    <t>MAHAVIR</t>
  </si>
  <si>
    <t>S/D/O : MAHAVIR, 107,MASJID KE PAS, ASALU,CHURU, GOGAJI KI MEDI KE PASS, CHURU</t>
  </si>
  <si>
    <t>331001</t>
  </si>
  <si>
    <t>9511531851</t>
  </si>
  <si>
    <t>RJ10SQ8772</t>
  </si>
  <si>
    <t>MD634AE88M2L21969</t>
  </si>
  <si>
    <t>AE8LM2320792</t>
  </si>
  <si>
    <t>TVS/1080</t>
  </si>
  <si>
    <t>RD904967332IN</t>
  </si>
  <si>
    <t>RJ3036TW0034189</t>
  </si>
  <si>
    <t>2019-04-15</t>
  </si>
  <si>
    <t>Mr.BUDVA RAM</t>
  </si>
  <si>
    <t>HARI SINGH</t>
  </si>
  <si>
    <t xml:space="preserve">S/D/O : HARI SINGH, 47 CHAK RAM NAGAR, BHARATPUR, NR SHIV TEMPLE KE PASS, </t>
  </si>
  <si>
    <t>8696398426</t>
  </si>
  <si>
    <t>RJ05FS3824</t>
  </si>
  <si>
    <t>MD621HP12K1C37116</t>
  </si>
  <si>
    <t>CP1CK1637069</t>
  </si>
  <si>
    <t>TVS/1081</t>
  </si>
  <si>
    <t>RD904967346IN</t>
  </si>
  <si>
    <t>UP3065UT0001993</t>
  </si>
  <si>
    <t>2021-02-18</t>
  </si>
  <si>
    <t>Mr.KAMALESH  PREMANATH</t>
  </si>
  <si>
    <t>PREMANATH</t>
  </si>
  <si>
    <t>S/D/O : PREMANATH, S/O PREMANATH, H NO 81, VISUNDHARI, VISUNDHARI POKHARA, GHORAWAL</t>
  </si>
  <si>
    <t>231210</t>
  </si>
  <si>
    <t>7388145375</t>
  </si>
  <si>
    <t>UP64V6271</t>
  </si>
  <si>
    <t>MD625SF46E1A61124</t>
  </si>
  <si>
    <t>CF4AE1060119</t>
  </si>
  <si>
    <t>CROSSSELL PL UT</t>
  </si>
  <si>
    <t>TVS/1082</t>
  </si>
  <si>
    <t>RD904967350IN</t>
  </si>
  <si>
    <t>DL3045UT0000765</t>
  </si>
  <si>
    <t>Delhi</t>
  </si>
  <si>
    <t>2018-10-19</t>
  </si>
  <si>
    <t>Mr.MUKESHINDORA</t>
  </si>
  <si>
    <t>SANT LAL INDORA</t>
  </si>
  <si>
    <t>S/D/O : SANT LAL INDORA, H NO 167, 167 MIRJAZAANDASNAGATE, CHAUPLAMANDIR, GHAZIABAD GHAZIABAD</t>
  </si>
  <si>
    <t>201001</t>
  </si>
  <si>
    <t>8130121091</t>
  </si>
  <si>
    <t>UP14DC9695</t>
  </si>
  <si>
    <t>MD626BG46G1P00470</t>
  </si>
  <si>
    <t>BG4PG1094414</t>
  </si>
  <si>
    <t>TVS/1083</t>
  </si>
  <si>
    <t>RD904967363IN</t>
  </si>
  <si>
    <t>BR3058TW0151885</t>
  </si>
  <si>
    <t>2020-01-31</t>
  </si>
  <si>
    <t>Mr.GAJANAND KUMAR</t>
  </si>
  <si>
    <t>RAJENDRA MANDAL</t>
  </si>
  <si>
    <t xml:space="preserve">S/D/O : RAJENDRA MANDAL, DHOLBAJJA WARD NO  7, FORBESGANJ, PRIMARY SCHOOL, </t>
  </si>
  <si>
    <t>Araria</t>
  </si>
  <si>
    <t>854318</t>
  </si>
  <si>
    <t>9588527664</t>
  </si>
  <si>
    <t>BR38V4943</t>
  </si>
  <si>
    <t>MD634CE44L2A02336</t>
  </si>
  <si>
    <t>CE4AL2102272</t>
  </si>
  <si>
    <t>APACHE 160 RD 2V ABS</t>
  </si>
  <si>
    <t>TVS/1084</t>
  </si>
  <si>
    <t>RD904967377IN</t>
  </si>
  <si>
    <t>BR3058TW0166872</t>
  </si>
  <si>
    <t>2020-07-16</t>
  </si>
  <si>
    <t>Mr.RUPESH KUMAR RAM</t>
  </si>
  <si>
    <t>GANESH RAM</t>
  </si>
  <si>
    <t xml:space="preserve">S/D/O : GANESH RAM, AT DHARAHRA MELA,PO DHARHARA DISTT-GOPALGANJKATEYA, DIS, KALI MANDIR, </t>
  </si>
  <si>
    <t>Gopalganj</t>
  </si>
  <si>
    <t>841437</t>
  </si>
  <si>
    <t>8707305916</t>
  </si>
  <si>
    <t>MD634AE80L2F09645</t>
  </si>
  <si>
    <t>AE8FL2610144</t>
  </si>
  <si>
    <t>TVS/1085</t>
  </si>
  <si>
    <t>RD904967385IN</t>
  </si>
  <si>
    <t>UP3052TW0035442</t>
  </si>
  <si>
    <t>2019-04-25</t>
  </si>
  <si>
    <t>Mr.KAMENDRATARA SINGH</t>
  </si>
  <si>
    <t>TARA SINGH</t>
  </si>
  <si>
    <t>S/D/O : TARA SINGH, VILL SINGHA, CHANDPUR, GOVT HAND PUMP, BIJNOR</t>
  </si>
  <si>
    <t>246725</t>
  </si>
  <si>
    <t>9639293603</t>
  </si>
  <si>
    <t>UP20BM2441</t>
  </si>
  <si>
    <t>MD625PF55J1N01444</t>
  </si>
  <si>
    <t>NF5NJ1701098</t>
  </si>
  <si>
    <t>TVS/1086</t>
  </si>
  <si>
    <t>RD904967394IN</t>
  </si>
  <si>
    <t>RJ3039TW0032956</t>
  </si>
  <si>
    <t>2018-11-13</t>
  </si>
  <si>
    <t>Mr.DHANAPAL KACHARA</t>
  </si>
  <si>
    <t>KACHRA</t>
  </si>
  <si>
    <t xml:space="preserve">S/D/O : KACHRA, DITIYA GHATI JHANJHARI TH SIMALWARA. DIST DUNGARPU, , GOVERNMENT PRIMARY SCHOOL, </t>
  </si>
  <si>
    <t>Dungarpur</t>
  </si>
  <si>
    <t>314406</t>
  </si>
  <si>
    <t>7230989003</t>
  </si>
  <si>
    <t>RJ12SV9100</t>
  </si>
  <si>
    <t>MD625FF11J3H26457</t>
  </si>
  <si>
    <t>FF1HJ1876907</t>
  </si>
  <si>
    <t>TVS/1087</t>
  </si>
  <si>
    <t>RD904967403IN</t>
  </si>
  <si>
    <t>BR3068TW0015198</t>
  </si>
  <si>
    <t>2021-04-28</t>
  </si>
  <si>
    <t>Mr.HEERASAHANI</t>
  </si>
  <si>
    <t>SHATRUDHAN SAHNI</t>
  </si>
  <si>
    <t>S/D/O : SHATRUDHAN SAHNI, AT-WARD NO 01 PAUNI, PS-JALE, HANUMAN MANDIR, DHARBHANGA</t>
  </si>
  <si>
    <t>Darbhanga</t>
  </si>
  <si>
    <t>847303</t>
  </si>
  <si>
    <t>8590250045</t>
  </si>
  <si>
    <t>MD634AE87L2L03218</t>
  </si>
  <si>
    <t>AE8LL2502261</t>
  </si>
  <si>
    <t>TVS/1088</t>
  </si>
  <si>
    <t>RD904967417IN</t>
  </si>
  <si>
    <t>BR3058TW0172388</t>
  </si>
  <si>
    <t>2020-09-14</t>
  </si>
  <si>
    <t>Mr.JAGESH KUMAR</t>
  </si>
  <si>
    <t>NAGESHWAR SAH</t>
  </si>
  <si>
    <t>S/D/O : NAGESHWAR SAH, GARHA,ASNI,, UDWANTNAGAR, NIYAR RIVER NAHAR, BHOJPUR</t>
  </si>
  <si>
    <t>Bhojpur</t>
  </si>
  <si>
    <t>802210</t>
  </si>
  <si>
    <t>6209129635</t>
  </si>
  <si>
    <t>BR03AD9662</t>
  </si>
  <si>
    <t>MD634AE89L2H18155</t>
  </si>
  <si>
    <t>AE8HL2917747</t>
  </si>
  <si>
    <t>TVS/1089</t>
  </si>
  <si>
    <t>RD904967425IN</t>
  </si>
  <si>
    <t>UP3064TW0031157</t>
  </si>
  <si>
    <t>2019-09-13</t>
  </si>
  <si>
    <t>Mr.HAKIM SINGH</t>
  </si>
  <si>
    <t>GANGA RAM</t>
  </si>
  <si>
    <t xml:space="preserve">S/D/O : GANGA RAM, SHAHGADH, AKRABAD, MEWARAM CHAKKI WALA, </t>
  </si>
  <si>
    <t>202129</t>
  </si>
  <si>
    <t>9012642277</t>
  </si>
  <si>
    <t>UP81CH4140</t>
  </si>
  <si>
    <t>MD621HP18K1H02630</t>
  </si>
  <si>
    <t>DP1HK1300265</t>
  </si>
  <si>
    <t>TVS/1090</t>
  </si>
  <si>
    <t>RD904967434IN</t>
  </si>
  <si>
    <t>RJ3016TW0039430</t>
  </si>
  <si>
    <t>2019-10-07</t>
  </si>
  <si>
    <t>Mr.MANOJ SINGH</t>
  </si>
  <si>
    <t>HAWA SINGH</t>
  </si>
  <si>
    <t xml:space="preserve">S/D/O : HAWA SINGH, VILL-BAMANVAS TEH-BANSUR, BANSUR, ALWAR, NR POWER HOUSE, </t>
  </si>
  <si>
    <t>Alwar</t>
  </si>
  <si>
    <t>301402</t>
  </si>
  <si>
    <t>8302323516</t>
  </si>
  <si>
    <t>RJ02BN0183</t>
  </si>
  <si>
    <t>MD626EG47K3E90155</t>
  </si>
  <si>
    <t>EG4EK3802027</t>
  </si>
  <si>
    <t>TVS/1091</t>
  </si>
  <si>
    <t>RD904967448IN</t>
  </si>
  <si>
    <t>BR3058TW0158962</t>
  </si>
  <si>
    <t>2020-03-30</t>
  </si>
  <si>
    <t>Mr.SONU KUMAR</t>
  </si>
  <si>
    <t>SURENDRA PASWAN</t>
  </si>
  <si>
    <t>S/D/O : SURENDRA PASWAN, AT PO BAURAHA,WARD NO 09, PS KARJIN BAZAR, NEAR MIDDLE SCHOOL, SUPAUL</t>
  </si>
  <si>
    <t>Supaul</t>
  </si>
  <si>
    <t>852215</t>
  </si>
  <si>
    <t>7970700866</t>
  </si>
  <si>
    <t>BR50T1606</t>
  </si>
  <si>
    <t>MD634AE89L2B19207</t>
  </si>
  <si>
    <t>AE8BL2519690</t>
  </si>
  <si>
    <t>TVS/1092</t>
  </si>
  <si>
    <t>RD904967451IN</t>
  </si>
  <si>
    <t>BR3058TW0149335</t>
  </si>
  <si>
    <t>Mr.RAMPRAVESH SAHANI</t>
  </si>
  <si>
    <t>RAMSWROOP SAHANI</t>
  </si>
  <si>
    <t xml:space="preserve">S/D/O : RAMSWROOP SAHANI, AT,  MAJLIS PRENATAL URF KHARHAR, PO,  KHARHAR, SHIV MANDIR, </t>
  </si>
  <si>
    <t>843117</t>
  </si>
  <si>
    <t>6377297466</t>
  </si>
  <si>
    <t>BR06CH1734</t>
  </si>
  <si>
    <t>MD634CE49K2N13407</t>
  </si>
  <si>
    <t>CE4NK2712420</t>
  </si>
  <si>
    <t>TVS/1093</t>
  </si>
  <si>
    <t>RD904967465IN</t>
  </si>
  <si>
    <t>BR3058TW0122606</t>
  </si>
  <si>
    <t>2019-07-26</t>
  </si>
  <si>
    <t>Mr.RAGHU SADA</t>
  </si>
  <si>
    <t>KALESHWAR SADA</t>
  </si>
  <si>
    <t xml:space="preserve">S/D/O : KALESHWAR SADA, MIRJAWA, TRIVENIGANJ,SUPAUL, MIDDLE SCHOOL, </t>
  </si>
  <si>
    <t>852139</t>
  </si>
  <si>
    <t>6280523012</t>
  </si>
  <si>
    <t>MD625GF11K1E03321</t>
  </si>
  <si>
    <t>JF1EK1001620</t>
  </si>
  <si>
    <t>TVS/1094</t>
  </si>
  <si>
    <t>RD904967479IN</t>
  </si>
  <si>
    <t>RJ3039TW0040215</t>
  </si>
  <si>
    <t>2019-11-05</t>
  </si>
  <si>
    <t>Mr.MANI LAL VAGJI</t>
  </si>
  <si>
    <t>VAGJI</t>
  </si>
  <si>
    <t xml:space="preserve">S/D/O : VAGJI, 128 NAHAR UPAR BARI SIYATALAI, TH.BANSWARA, BANSWARA, </t>
  </si>
  <si>
    <t>Banswara</t>
  </si>
  <si>
    <t>327001</t>
  </si>
  <si>
    <t>6350638181</t>
  </si>
  <si>
    <t>RJ03DS7167</t>
  </si>
  <si>
    <t>MD634CE49K2H00679</t>
  </si>
  <si>
    <t>CE4HK2700594</t>
  </si>
  <si>
    <t>TVS/1095</t>
  </si>
  <si>
    <t>RD904967482IN</t>
  </si>
  <si>
    <t>RJ3036TW0026453</t>
  </si>
  <si>
    <t>2018-06-30</t>
  </si>
  <si>
    <t>Mr.CHOTULAL</t>
  </si>
  <si>
    <t>SHANKAR LAL</t>
  </si>
  <si>
    <t>S/D/O : SHANKAR LAL, TODI MOHALLA WARD NO 1 KAITHUN, LADPURA, NEAR BHERU JI KA STHAN, KOTA</t>
  </si>
  <si>
    <t>325001</t>
  </si>
  <si>
    <t>7339988269</t>
  </si>
  <si>
    <t>RJ20QS7068</t>
  </si>
  <si>
    <t>MD634BE48H2H32865</t>
  </si>
  <si>
    <t>BE4HH2132127</t>
  </si>
  <si>
    <t>APACHE ES RTR 160</t>
  </si>
  <si>
    <t>TVS/1096</t>
  </si>
  <si>
    <t>RD904967496IN</t>
  </si>
  <si>
    <t>RJ3036TW0030064</t>
  </si>
  <si>
    <t>Mr.SHYOJILALMEENA</t>
  </si>
  <si>
    <t>MOTI LAL</t>
  </si>
  <si>
    <t>S/D/O : MOTI LAL, VILL BASNI TH HINDOLI, BUNDI, MATAJI TEMPLE, BUNDI</t>
  </si>
  <si>
    <t>Bundi</t>
  </si>
  <si>
    <t>323025</t>
  </si>
  <si>
    <t>9799968594</t>
  </si>
  <si>
    <t>RJ08SV4709</t>
  </si>
  <si>
    <t>MD625PF52J3K56963</t>
  </si>
  <si>
    <t>NF5HJ1680525</t>
  </si>
  <si>
    <t>TVS/1097</t>
  </si>
  <si>
    <t>RD904967505IN</t>
  </si>
  <si>
    <t>RJ3039TW0038370</t>
  </si>
  <si>
    <t>2019-07-23</t>
  </si>
  <si>
    <t>Mr.JITENDRA  KUMAR</t>
  </si>
  <si>
    <t>VAGA RAM</t>
  </si>
  <si>
    <t xml:space="preserve">S/D/O : VAGA RAM, FLATE NO 802, SIDHI VINAYAK PARK, NEAR TRIMURTHI COMPLEX, </t>
  </si>
  <si>
    <t>Udaipur</t>
  </si>
  <si>
    <t>313001</t>
  </si>
  <si>
    <t>9116316280</t>
  </si>
  <si>
    <t>RJ27BU8604</t>
  </si>
  <si>
    <t>MD625HF12K3E15052</t>
  </si>
  <si>
    <t>KF1EK1808575</t>
  </si>
  <si>
    <t>TVS/1098</t>
  </si>
  <si>
    <t>RD904967519IN</t>
  </si>
  <si>
    <t>RJ3036TW0037279</t>
  </si>
  <si>
    <t>2019-11-04</t>
  </si>
  <si>
    <t>Mr.NAVIN KISHAN LAL</t>
  </si>
  <si>
    <t>KISHAN LAL</t>
  </si>
  <si>
    <t xml:space="preserve">S/D/O : KISHAN LAL, 135,MAHA PRABHU JI KA MANDIR KAMAN, TEH KAMAN, MAHA PRABHU JI KA MANDIR KE PASS, </t>
  </si>
  <si>
    <t>8504006653</t>
  </si>
  <si>
    <t>RJ05HS4902</t>
  </si>
  <si>
    <t>MD625PF50K3D95834</t>
  </si>
  <si>
    <t>NF5DK1303223</t>
  </si>
  <si>
    <t>TVS/1099</t>
  </si>
  <si>
    <t>RD904967522IN</t>
  </si>
  <si>
    <t>BR3058TW0122091</t>
  </si>
  <si>
    <t>2019-07-24</t>
  </si>
  <si>
    <t>Mr.MILAN KUMAR</t>
  </si>
  <si>
    <t>PREM LAL SINGH</t>
  </si>
  <si>
    <t xml:space="preserve">S/D/O : PREM LAL SINGH, AT-KUCHA BENUGADH WARD NO 02, BL-TEDHAGACHH, MANDIR, </t>
  </si>
  <si>
    <t>Kishanganj</t>
  </si>
  <si>
    <t>855101</t>
  </si>
  <si>
    <t>7814020234</t>
  </si>
  <si>
    <t>MD625GF19K1AL3056</t>
  </si>
  <si>
    <t>LF1AK13L1426</t>
  </si>
  <si>
    <t>TVS/1100</t>
  </si>
  <si>
    <t>RD904967536IN</t>
  </si>
  <si>
    <t>BR3068TW0008011</t>
  </si>
  <si>
    <t>2021-01-09</t>
  </si>
  <si>
    <t>Mr.NITISH KUMAR</t>
  </si>
  <si>
    <t>RAMESH SAH</t>
  </si>
  <si>
    <t>S/D/O : RAMESH SAH, AT-SHIVPURI, W. NO-14, PO-SAHARSA, PS-SAHARSA, SHIV JI TEMPEL, DIST-SAHARSA</t>
  </si>
  <si>
    <t>Saharsa</t>
  </si>
  <si>
    <t>852201</t>
  </si>
  <si>
    <t>9835226782</t>
  </si>
  <si>
    <t>BR19R8792</t>
  </si>
  <si>
    <t>MD625CK23L1N08075</t>
  </si>
  <si>
    <t>AK2NL1405211</t>
  </si>
  <si>
    <t>TVS/1101</t>
  </si>
  <si>
    <t>RD904967540IN</t>
  </si>
  <si>
    <t>RJ3016TW0039184</t>
  </si>
  <si>
    <t>2019-09-28</t>
  </si>
  <si>
    <t>Miss.YOGITA DAYA RAM</t>
  </si>
  <si>
    <t>DAYA RAM</t>
  </si>
  <si>
    <t xml:space="preserve">S/D/O : DAYA RAM, TINKIRURI, TEHSIL MUNDAWAR, SHYOPUR, NEAR HANUMAN MANDIR KE PASS, </t>
  </si>
  <si>
    <t>301407</t>
  </si>
  <si>
    <t>9116964617</t>
  </si>
  <si>
    <t>MD625FF1XJ3H24559</t>
  </si>
  <si>
    <t>FF1GJ1X6892</t>
  </si>
  <si>
    <t>STAR CITY PLUS DUAL TONE</t>
  </si>
  <si>
    <t>TVS/1102</t>
  </si>
  <si>
    <t>RD904967553IN</t>
  </si>
  <si>
    <t>AS3072TW0024885</t>
  </si>
  <si>
    <t>Mr.SURUJALI</t>
  </si>
  <si>
    <t>BAHAR ALI</t>
  </si>
  <si>
    <t>S/D/O : BAHAR ALI, BIDYAPUR, URIHMGHAT, NEAR DAILY BAZAR, GOLAGHAT</t>
  </si>
  <si>
    <t>Golaghat</t>
  </si>
  <si>
    <t>785601</t>
  </si>
  <si>
    <t>8472947651</t>
  </si>
  <si>
    <t>MD625GF17J1K60600</t>
  </si>
  <si>
    <t>JF1KJ1X25360</t>
  </si>
  <si>
    <t>TVS/1103</t>
  </si>
  <si>
    <t>RD904967567IN</t>
  </si>
  <si>
    <t>AS3072TW0027317</t>
  </si>
  <si>
    <t>2018-12-29</t>
  </si>
  <si>
    <t>Mr.BAHAR  UDDIN</t>
  </si>
  <si>
    <t>SAHABUDDIN</t>
  </si>
  <si>
    <t xml:space="preserve">S/D/O : SAHABUDDIN, 2NO BANGALBORI, DONGARBORI, MASZID, </t>
  </si>
  <si>
    <t>Marigaon</t>
  </si>
  <si>
    <t>782410</t>
  </si>
  <si>
    <t>9127344730</t>
  </si>
  <si>
    <t>AS21G9597</t>
  </si>
  <si>
    <t>MD621EP17J3L68931</t>
  </si>
  <si>
    <t>CP1LJ27A2603</t>
  </si>
  <si>
    <t>TVS/1104</t>
  </si>
  <si>
    <t>RD904967575IN</t>
  </si>
  <si>
    <t>MP3012TW0090532</t>
  </si>
  <si>
    <t>2020-09-21</t>
  </si>
  <si>
    <t>Mr.BABOOLAL KOL</t>
  </si>
  <si>
    <t>LALLU KOL</t>
  </si>
  <si>
    <t xml:space="preserve">S/D/O : LALLU KOL, GRAM DIGHAUL DHERA REWA, , NEARMANDIR, </t>
  </si>
  <si>
    <t>Rewa</t>
  </si>
  <si>
    <t>486333</t>
  </si>
  <si>
    <t>8269354103</t>
  </si>
  <si>
    <t>MP17MZ6098</t>
  </si>
  <si>
    <t>MD625BK23L1H05857</t>
  </si>
  <si>
    <t>BK2HL1109128</t>
  </si>
  <si>
    <t>TVS/1105</t>
  </si>
  <si>
    <t>RD904967584IN</t>
  </si>
  <si>
    <t>MP3012TW0091374</t>
  </si>
  <si>
    <t>2020-10-25</t>
  </si>
  <si>
    <t>Mr.JAYNARAYAN KOL</t>
  </si>
  <si>
    <t>RAMBAHADUR KOL</t>
  </si>
  <si>
    <t>S/D/O : RAMBAHADUR KOL, 71 AMIRATI MUKHY BASTI, VILLAGE AMIRATI, HANDPAMP, TEHSIL MAJHGAWAN DIST SATNA</t>
  </si>
  <si>
    <t>Satna</t>
  </si>
  <si>
    <t>485226</t>
  </si>
  <si>
    <t>6265438053</t>
  </si>
  <si>
    <t>MD634AE87L2F05351</t>
  </si>
  <si>
    <t>AE8FL2805684</t>
  </si>
  <si>
    <t>TVS/1106</t>
  </si>
  <si>
    <t>RD904967598IN</t>
  </si>
  <si>
    <t>UP3033TW0033308</t>
  </si>
  <si>
    <t>2019-06-27</t>
  </si>
  <si>
    <t>Mr.HAMEED ALAUDDIN</t>
  </si>
  <si>
    <t>ALAUDDIN</t>
  </si>
  <si>
    <t xml:space="preserve">S/D/O : ALAUDDIN, GAINEE, AONLA, BAZAAR, </t>
  </si>
  <si>
    <t>Bareilly</t>
  </si>
  <si>
    <t>243302</t>
  </si>
  <si>
    <t>8954633883</t>
  </si>
  <si>
    <t>UP25CR6838</t>
  </si>
  <si>
    <t>MD621HP17K3C15178</t>
  </si>
  <si>
    <t>CP1BK2416631</t>
  </si>
  <si>
    <t>TVS/1107</t>
  </si>
  <si>
    <t>RD904967607IN</t>
  </si>
  <si>
    <t>BR3058TW0122095</t>
  </si>
  <si>
    <t>Mr.AJAY  KUMAR</t>
  </si>
  <si>
    <t>RAM PUKAR SAH</t>
  </si>
  <si>
    <t xml:space="preserve">S/D/O : RAM PUKAR SAH, KHURDA, W.NO- 09, ISRAIN KHURDA, KUMARKHAND, SATSANG BHAWAN, </t>
  </si>
  <si>
    <t>Madhepura</t>
  </si>
  <si>
    <t>852112</t>
  </si>
  <si>
    <t>7260945287</t>
  </si>
  <si>
    <t>MD625PF51K3A09857</t>
  </si>
  <si>
    <t>PF5AK12L3365</t>
  </si>
  <si>
    <t>TVS/1108</t>
  </si>
  <si>
    <t>RD904967615IN</t>
  </si>
  <si>
    <t>BR3058TW0119426</t>
  </si>
  <si>
    <t>2019-06-29</t>
  </si>
  <si>
    <t>Mr.RAJA BABU</t>
  </si>
  <si>
    <t>PRABHU PRASAD</t>
  </si>
  <si>
    <t xml:space="preserve">S/D/O : PRABHU PRASAD, VILL-PO-PAURA, PS-NAWADA, SHIV TEMPLE, </t>
  </si>
  <si>
    <t>Nawada</t>
  </si>
  <si>
    <t>805104</t>
  </si>
  <si>
    <t>7061200593</t>
  </si>
  <si>
    <t>BR27L6564</t>
  </si>
  <si>
    <t>MD626AG72K2D04062</t>
  </si>
  <si>
    <t>AG7DK2403905</t>
  </si>
  <si>
    <t>TVS/1109</t>
  </si>
  <si>
    <t>RD904967624IN</t>
  </si>
  <si>
    <t>JH3053TW0053202</t>
  </si>
  <si>
    <t>2019-01-27</t>
  </si>
  <si>
    <t>Mr.SOM PRAKASH SINGH</t>
  </si>
  <si>
    <t>RAJENDRA SINGH</t>
  </si>
  <si>
    <t xml:space="preserve">S/D/O : RAJENDRA SINGH, ROAD NO 1 PRIVATE QUATER, PO TATANAGAR BAGBERA, NEHRU SCHOOL, </t>
  </si>
  <si>
    <t>831002</t>
  </si>
  <si>
    <t>7903476619</t>
  </si>
  <si>
    <t>JH05CH2488</t>
  </si>
  <si>
    <t>MD637AE73J2K91872</t>
  </si>
  <si>
    <t>AE7KJ2988638</t>
  </si>
  <si>
    <t>TVS/1110</t>
  </si>
  <si>
    <t>RD904967638IN</t>
  </si>
  <si>
    <t>MP3014TW0060635</t>
  </si>
  <si>
    <t>2019-11-03</t>
  </si>
  <si>
    <t>Mr.VIPAN RAGHUVIR SINGH</t>
  </si>
  <si>
    <t>RAGHUVEER SINGH</t>
  </si>
  <si>
    <t xml:space="preserve">S/D/O : RAGHUVEER SINGH, VILLAGE. BIRGWAN, TEH.MEHGAON, OPP HANDPUMP, </t>
  </si>
  <si>
    <t>Bhind</t>
  </si>
  <si>
    <t>477557</t>
  </si>
  <si>
    <t>7974779169</t>
  </si>
  <si>
    <t>MP30MS5203</t>
  </si>
  <si>
    <t>MD625PF56K1K81474</t>
  </si>
  <si>
    <t>NF5KK1006523</t>
  </si>
  <si>
    <t>TVS/1111</t>
  </si>
  <si>
    <t>RD904967641IN</t>
  </si>
  <si>
    <t>UP3065TW0026744</t>
  </si>
  <si>
    <t>2019-03-27</t>
  </si>
  <si>
    <t>Mrs.NISHA DEVI</t>
  </si>
  <si>
    <t>OM PRAKASH</t>
  </si>
  <si>
    <t xml:space="preserve">S/D/O : OM PRAKASH, KHAJURI KHURD, KORAON, KHAJURI CHAURAHA, </t>
  </si>
  <si>
    <t>Allahabad</t>
  </si>
  <si>
    <t>212306</t>
  </si>
  <si>
    <t>9129227526</t>
  </si>
  <si>
    <t>UP70EV1157</t>
  </si>
  <si>
    <t>MD625FF15J3H27286</t>
  </si>
  <si>
    <t>FF1HJ1478570</t>
  </si>
  <si>
    <t>TVS/1112</t>
  </si>
  <si>
    <t>RD904967655IN</t>
  </si>
  <si>
    <t>MP3012TW0103407</t>
  </si>
  <si>
    <t>2021-11-30</t>
  </si>
  <si>
    <t>Mr.MADHYAMKUMARVISHWAKARMA</t>
  </si>
  <si>
    <t>KAUSHAL PRASAD VISHWAKARMA</t>
  </si>
  <si>
    <t>S/D/O : KAUSHAL PRASAD VISHWAKARMA, GRAM KHAMHRIYA NEVAJI, POST KHAMHRIYA CHOUBEN, HANDPAMP, TEHSIL SEMARIYA DIST REWA</t>
  </si>
  <si>
    <t>486445</t>
  </si>
  <si>
    <t>7610137014</t>
  </si>
  <si>
    <t>MD621BP27M1H20402</t>
  </si>
  <si>
    <t>BP2HM1X18983</t>
  </si>
  <si>
    <t>TVS/1113</t>
  </si>
  <si>
    <t>RD904967669IN</t>
  </si>
  <si>
    <t>RJ3037TW0028949</t>
  </si>
  <si>
    <t>2019-05-08</t>
  </si>
  <si>
    <t>Mr.NARESH KUMAR</t>
  </si>
  <si>
    <t>SAROOP</t>
  </si>
  <si>
    <t xml:space="preserve">S/D/O : SAROOP, 84 RAM NAGAR BHADASIYA JODHPUR JODHPUR, , NEAR SHIV TEMPLE, </t>
  </si>
  <si>
    <t>Jodhpur</t>
  </si>
  <si>
    <t>342006</t>
  </si>
  <si>
    <t>7568967489</t>
  </si>
  <si>
    <t>RJ19BU5103</t>
  </si>
  <si>
    <t>MD625PF53K3C89362</t>
  </si>
  <si>
    <t>NF5CK1500487</t>
  </si>
  <si>
    <t>TVS/1114</t>
  </si>
  <si>
    <t>RD904967672IN</t>
  </si>
  <si>
    <t>BR3068TW0001536</t>
  </si>
  <si>
    <t>2020-10-05</t>
  </si>
  <si>
    <t>Mr.MANOJ KUMAR</t>
  </si>
  <si>
    <t>MATAR SAH</t>
  </si>
  <si>
    <t>S/D/O : MATAR SAH, AT-WARD NO 04 BASAUL, PS-BELSAND, THAKUR MANDIR, SITAMARHI</t>
  </si>
  <si>
    <t>843316</t>
  </si>
  <si>
    <t>9911505904</t>
  </si>
  <si>
    <t>MD621BP20L3H07316</t>
  </si>
  <si>
    <t>BP2HL2807227</t>
  </si>
  <si>
    <t>TVS XL 100 HD ITS SPL EDITION BSVI</t>
  </si>
  <si>
    <t>TVS/1115</t>
  </si>
  <si>
    <t>RD904967686IN</t>
  </si>
  <si>
    <t>CG3015TW0047837</t>
  </si>
  <si>
    <t>Chattisgarh</t>
  </si>
  <si>
    <t>2021-08-16</t>
  </si>
  <si>
    <t>Mr.MAHBUBALAM</t>
  </si>
  <si>
    <t>KAMRUDDIN ANSARI</t>
  </si>
  <si>
    <t>S/D/O : KAMRUDDIN ANSARI, H.N.3 NAWAGARH, VILL NAWAGARH POST OFFICE AMBIKAPUR, NEAR GANGA SAGAR, TEH-AMBIKAPUR DISTRICT SURGUJA</t>
  </si>
  <si>
    <t>Surguja</t>
  </si>
  <si>
    <t>497001</t>
  </si>
  <si>
    <t>7470528162</t>
  </si>
  <si>
    <t>MD634AE85M2G02520</t>
  </si>
  <si>
    <t>AE8GM2002726</t>
  </si>
  <si>
    <t>TVS/1116</t>
  </si>
  <si>
    <t>RD904967690IN</t>
  </si>
  <si>
    <t>UP3033TW0031352</t>
  </si>
  <si>
    <t>2019-04-26</t>
  </si>
  <si>
    <t>Mr.YUNUS AJAD</t>
  </si>
  <si>
    <t>AJAD</t>
  </si>
  <si>
    <t xml:space="preserve">S/D/O : AJAD, VILLAGE KUNWARPUR BANJARIYA THANA HAFIZGANZ, TAHSIL BAREILLY, HAND PUMP, </t>
  </si>
  <si>
    <t>243123</t>
  </si>
  <si>
    <t>7055473647</t>
  </si>
  <si>
    <t>UP25CQ2340</t>
  </si>
  <si>
    <t>MD625GF1XH1N10969</t>
  </si>
  <si>
    <t>LF1NH1608747</t>
  </si>
  <si>
    <t>TVS/1117</t>
  </si>
  <si>
    <t>RD904967709IN</t>
  </si>
  <si>
    <t>RJ3037TW0032408</t>
  </si>
  <si>
    <t>2019-11-19</t>
  </si>
  <si>
    <t>Mr.LAKSHMANARAM DEVILAL</t>
  </si>
  <si>
    <t>DEVILAL</t>
  </si>
  <si>
    <t xml:space="preserve">S/D/O : DEVILAL, H NO 295 MEGHAVALON KA VAS UCHIYADA TEHSIL JODHPUR, , SHIV MANDIR, </t>
  </si>
  <si>
    <t>342001</t>
  </si>
  <si>
    <t>9549235827</t>
  </si>
  <si>
    <t>MD625HF14K3F23981</t>
  </si>
  <si>
    <t>KF1FK1X16752</t>
  </si>
  <si>
    <t>TVS/1118</t>
  </si>
  <si>
    <t>RD904967712IN</t>
  </si>
  <si>
    <t>MP3014TW0045087</t>
  </si>
  <si>
    <t>2018-07-20</t>
  </si>
  <si>
    <t>Mr.MUKESHKUMARAHIRWAR</t>
  </si>
  <si>
    <t>BHOGI RAM AHIRWAR</t>
  </si>
  <si>
    <t xml:space="preserve">S/D/O : BHOGI RAM AHIRWAR, SOCIETY LILGAWAN, DEHGAON RAISEN, NEAR MANDIR, </t>
  </si>
  <si>
    <t>Raisen</t>
  </si>
  <si>
    <t>464551</t>
  </si>
  <si>
    <t>9584000995</t>
  </si>
  <si>
    <t>MD625PF57J1D17268</t>
  </si>
  <si>
    <t>NF5DJ1320307</t>
  </si>
  <si>
    <t>TVS/1119</t>
  </si>
  <si>
    <t>RD904967726IN</t>
  </si>
  <si>
    <t>UP3038TW0044395</t>
  </si>
  <si>
    <t>2018-10-24</t>
  </si>
  <si>
    <t>Mr.RAJKUMAR</t>
  </si>
  <si>
    <t>RAJENDRA</t>
  </si>
  <si>
    <t>S/D/O : RAJENDRA, S/O RAJENDRA, JANGIPUR, PRIMARY SCHOOL, SARAI HARKHU</t>
  </si>
  <si>
    <t>Jaunpur</t>
  </si>
  <si>
    <t>222141</t>
  </si>
  <si>
    <t>9129772590</t>
  </si>
  <si>
    <t>UP62BU9125</t>
  </si>
  <si>
    <t>MD625PF56K3E37883</t>
  </si>
  <si>
    <t>NF5EK1658477</t>
  </si>
  <si>
    <t>TVS/1120</t>
  </si>
  <si>
    <t>RD904967730IN</t>
  </si>
  <si>
    <t>RJ3016TW0047968</t>
  </si>
  <si>
    <t>2021-06-30</t>
  </si>
  <si>
    <t>Mr.ROHITKUMAR</t>
  </si>
  <si>
    <t>JAIPAL SINGH</t>
  </si>
  <si>
    <t>S/D/O : JAIPAL SINGH, VILLAGE MOHAMMADPUR, TEHSIL MUNDAWAR, NEAR GOVT SEN SEC SCHOOL K SAMNE, MOHAMMADPUR, ALWAR</t>
  </si>
  <si>
    <t>301403</t>
  </si>
  <si>
    <t>7737244236</t>
  </si>
  <si>
    <t>RJ02BV7274</t>
  </si>
  <si>
    <t>MD625CK23M3D00206</t>
  </si>
  <si>
    <t>DK2DM3X00043</t>
  </si>
  <si>
    <t>TVS SPORT KLS BSVI</t>
  </si>
  <si>
    <t>TVS/1121</t>
  </si>
  <si>
    <t>RD904967743IN</t>
  </si>
  <si>
    <t>BR3058TW0111831</t>
  </si>
  <si>
    <t>2019-05-15</t>
  </si>
  <si>
    <t>Mr.MD HARMUJ</t>
  </si>
  <si>
    <t>TAFEFUL ALAM</t>
  </si>
  <si>
    <t xml:space="preserve">S/D/O : TAFEFUL ALAM, DHAPRI, DUMARIYA, WARD NO- 03, BALUA, KALIYAGANJ, MASJID, </t>
  </si>
  <si>
    <t>854333</t>
  </si>
  <si>
    <t>9304972114</t>
  </si>
  <si>
    <t>md625ff10k3a37902</t>
  </si>
  <si>
    <t>ff1nj1905501</t>
  </si>
  <si>
    <t>TVS/1122</t>
  </si>
  <si>
    <t>RD904967757IN</t>
  </si>
  <si>
    <t>DL3049TW0013980</t>
  </si>
  <si>
    <t>2019-06-17</t>
  </si>
  <si>
    <t>Mr.RAJIV KUMAR</t>
  </si>
  <si>
    <t>MANGAL SINGH</t>
  </si>
  <si>
    <t xml:space="preserve">S/D/O : MANGAL SINGH, H.NO. 18, SECTOR- 59, BEHRAMPUR GURGAON, SHIV MANDIR, </t>
  </si>
  <si>
    <t>Gurgaon</t>
  </si>
  <si>
    <t>122001</t>
  </si>
  <si>
    <t>9917189180</t>
  </si>
  <si>
    <t>HR26EB4842</t>
  </si>
  <si>
    <t>MD625HF19K3F17397</t>
  </si>
  <si>
    <t>KF1EK1021078</t>
  </si>
  <si>
    <t>TVS/1123</t>
  </si>
  <si>
    <t>RD904967765IN</t>
  </si>
  <si>
    <t>UP3064TW0031929</t>
  </si>
  <si>
    <t>Mr.AKASH CHAUHAN</t>
  </si>
  <si>
    <t>JAGDISH SINGH</t>
  </si>
  <si>
    <t xml:space="preserve">S/D/O : JAGDISH SINGH, BHOGPUR BHAGTPUR, ALIGARH BHAGATPUR KOIL, PRIMARY SCHOOL, </t>
  </si>
  <si>
    <t>202132</t>
  </si>
  <si>
    <t>8954716147</t>
  </si>
  <si>
    <t>UP81CJ4069</t>
  </si>
  <si>
    <t>MD625PF54K1K81201</t>
  </si>
  <si>
    <t>NF5KK1305698</t>
  </si>
  <si>
    <t>TVS/1124</t>
  </si>
  <si>
    <t>RD904967774IN</t>
  </si>
  <si>
    <t>RJ3039TW0026966</t>
  </si>
  <si>
    <t>2017-11-10</t>
  </si>
  <si>
    <t>ANAR MOHAMMAD</t>
  </si>
  <si>
    <t>S/D/O : ANAR MOHAMMAD, 161 MURSHID NAGAR, SAVINA, SAVINA, UDAIPUR</t>
  </si>
  <si>
    <t>9664018590</t>
  </si>
  <si>
    <t>RJ27BG8711</t>
  </si>
  <si>
    <t>MD626EG4XH3H43851</t>
  </si>
  <si>
    <t>EG4HH2376270</t>
  </si>
  <si>
    <t>TVS/1125</t>
  </si>
  <si>
    <t>RD904967788IN</t>
  </si>
  <si>
    <t>RJ3016TW0046755</t>
  </si>
  <si>
    <t>2021-02-11</t>
  </si>
  <si>
    <t>Mr.SONU NATH SAPERA</t>
  </si>
  <si>
    <t>MANGE NATH SAPERA</t>
  </si>
  <si>
    <t>S/D/O : MANGE NATH SAPERA, H NO 116 SAPERON KA BAS MOHALLA, GRAM DADAR, DADER, NEAR SHIV MANDIR KE PASS, ALWAR</t>
  </si>
  <si>
    <t>301001</t>
  </si>
  <si>
    <t>9001909694</t>
  </si>
  <si>
    <t>RJ02BU2712</t>
  </si>
  <si>
    <t>MD621BP29L3N08973</t>
  </si>
  <si>
    <t>BP2NL2006636</t>
  </si>
  <si>
    <t>TVS/1126</t>
  </si>
  <si>
    <t>RD904967791IN</t>
  </si>
  <si>
    <t>BR3058TW0148534</t>
  </si>
  <si>
    <t>2020-01-07</t>
  </si>
  <si>
    <t>Mr.MO NAIM SAFI</t>
  </si>
  <si>
    <t>MUSHAR SAFI</t>
  </si>
  <si>
    <t xml:space="preserve">S/D/O : MUSHAR SAFI, AT-MOTNAJE, PO PS-LADANIA, NEAR MASJID, </t>
  </si>
  <si>
    <t>Madhubani</t>
  </si>
  <si>
    <t>847232</t>
  </si>
  <si>
    <t>9065755715</t>
  </si>
  <si>
    <t>BR32AD7871</t>
  </si>
  <si>
    <t>MD625HF19L3A56445</t>
  </si>
  <si>
    <t>KF1PK3101090</t>
  </si>
  <si>
    <t>TVS/1127</t>
  </si>
  <si>
    <t>RD904967805IN</t>
  </si>
  <si>
    <t>UP3038TW0056332</t>
  </si>
  <si>
    <t>2019-07-25</t>
  </si>
  <si>
    <t>Mr.MANOJ KUMAR BHARTI</t>
  </si>
  <si>
    <t>NANDLAL RAM</t>
  </si>
  <si>
    <t xml:space="preserve">S/D/O : NANDLAL RAM, MARDAH SARAR URF HAIDERGANJ, KANSAHARI, RAVIDAS MANDIR, </t>
  </si>
  <si>
    <t>Ghazipur</t>
  </si>
  <si>
    <t>233226</t>
  </si>
  <si>
    <t>7880969739</t>
  </si>
  <si>
    <t>MD626EG46K3E93337</t>
  </si>
  <si>
    <t>EG4EK330451</t>
  </si>
  <si>
    <t>TVS/1128</t>
  </si>
  <si>
    <t>RD904967814IN</t>
  </si>
  <si>
    <t>BR3068TW0012174</t>
  </si>
  <si>
    <t>2021-03-12</t>
  </si>
  <si>
    <t>SURESH MANDAL</t>
  </si>
  <si>
    <t>S/D/O : SURESH MANDAL, WD NO- 05 VILL- RUPAULI GOTH, PO- SHILANATH RUPAULI, DURGA MANDIR, PS- JANKINAGAR PURNIA</t>
  </si>
  <si>
    <t>854102</t>
  </si>
  <si>
    <t>7250002742</t>
  </si>
  <si>
    <t>BR11AU4465</t>
  </si>
  <si>
    <t>MD634AE87M2A08415</t>
  </si>
  <si>
    <t>AE8AM2008165</t>
  </si>
  <si>
    <t>TVS/1129</t>
  </si>
  <si>
    <t>RD904967828IN</t>
  </si>
  <si>
    <t>RJ3039TW0042205</t>
  </si>
  <si>
    <t>2022-05-11</t>
  </si>
  <si>
    <t>2020-03-28</t>
  </si>
  <si>
    <t>Mr.RAMESH CHATURA</t>
  </si>
  <si>
    <t>CHATURA</t>
  </si>
  <si>
    <t xml:space="preserve">S/D/O : CHATURA, 219 MUKI PART MUNDARI BAGIDORA BANSWARA, , SHIV TEMPLE, </t>
  </si>
  <si>
    <t>9352042470</t>
  </si>
  <si>
    <t>RJ03HS3386</t>
  </si>
  <si>
    <t>MD625PF54L3A37184</t>
  </si>
  <si>
    <t>PF5NK1400289</t>
  </si>
  <si>
    <t>TVS/1130</t>
  </si>
  <si>
    <t>RD904967831IN</t>
  </si>
  <si>
    <t>UP3064TW0030175</t>
  </si>
  <si>
    <t>2019-07-11</t>
  </si>
  <si>
    <t>Mr.BHUPENDRA KUMAR</t>
  </si>
  <si>
    <t>VIRSINGH</t>
  </si>
  <si>
    <t xml:space="preserve">S/D/O : VIRSINGH, JIKARPUR, TAPPAL KHAIR, NR SHIV MANDIR, </t>
  </si>
  <si>
    <t>202165</t>
  </si>
  <si>
    <t>6398098320</t>
  </si>
  <si>
    <t>UP81CH2038</t>
  </si>
  <si>
    <t>MD625PF56K3D93408</t>
  </si>
  <si>
    <t>NF5CK1X08057</t>
  </si>
  <si>
    <t>TVS/1131</t>
  </si>
  <si>
    <t>RD904967845IN</t>
  </si>
  <si>
    <t>HP3091TW0010477</t>
  </si>
  <si>
    <t>himachal pradesh</t>
  </si>
  <si>
    <t>2020-11-30</t>
  </si>
  <si>
    <t>Mr.ANIL KUMAR</t>
  </si>
  <si>
    <t>DEEP CHAND</t>
  </si>
  <si>
    <t>S/D/O : DEEP CHAND, VPO, ASHA PURI, NEAR ASHA PURI TEMPLE, TEHSIL JAISINGHPUR</t>
  </si>
  <si>
    <t>Kangra</t>
  </si>
  <si>
    <t>176094</t>
  </si>
  <si>
    <t>8580513612</t>
  </si>
  <si>
    <t>HP56A2556</t>
  </si>
  <si>
    <t>MD626CG57L3L39117</t>
  </si>
  <si>
    <t>CG5LL3722583</t>
  </si>
  <si>
    <t>TVS/1132</t>
  </si>
  <si>
    <t>RD904967859IN</t>
  </si>
  <si>
    <t>RJ3039TW0040676</t>
  </si>
  <si>
    <t>2019-11-13</t>
  </si>
  <si>
    <t>Mr.HIRA LAL</t>
  </si>
  <si>
    <t>BANSI LAL</t>
  </si>
  <si>
    <t xml:space="preserve">S/D/O : BANSI LAL, VASLA FALA, DELWAS, PARSAD, SARADA, GOVT SCHOOL, </t>
  </si>
  <si>
    <t>313801</t>
  </si>
  <si>
    <t>9784882920</t>
  </si>
  <si>
    <t>RJ27BY5322</t>
  </si>
  <si>
    <t>MD634DE64K2L01506</t>
  </si>
  <si>
    <t>DE6LK2501339</t>
  </si>
  <si>
    <t>TVS/1133</t>
  </si>
  <si>
    <t>RD904967862IN</t>
  </si>
  <si>
    <t>BR3068TW0022547</t>
  </si>
  <si>
    <t>2021-09-25</t>
  </si>
  <si>
    <t>Mr.MD SHAMSHADALAM</t>
  </si>
  <si>
    <t>ZAHIR UDDIN</t>
  </si>
  <si>
    <t>S/D/O : ZAHIR UDDIN, AT-BARHAT WARD NO 01, BL-PALASI, MADNI MASJID, DIST-ARARIA</t>
  </si>
  <si>
    <t>9006378036</t>
  </si>
  <si>
    <t>BR38AA3948</t>
  </si>
  <si>
    <t>MD625AK20M3D01897</t>
  </si>
  <si>
    <t>CK2DM3502032</t>
  </si>
  <si>
    <t>STARCITY PLUS ES DT BSVI – DUAL TONE</t>
  </si>
  <si>
    <t>TVS/1134</t>
  </si>
  <si>
    <t>RD904967876IN</t>
  </si>
  <si>
    <t>BR3058TW0140562</t>
  </si>
  <si>
    <t>2019-11-11</t>
  </si>
  <si>
    <t>Mr.MOHAMMAD EARSHAD ALAM</t>
  </si>
  <si>
    <t>RAFIK MIYA</t>
  </si>
  <si>
    <t xml:space="preserve">S/D/O : RAFIK MIYA, WORD NO 3 AT-NARIYAR, TOLA-LATHA, KAHARA SAHARSA, SHIV JI TEAMPEL, </t>
  </si>
  <si>
    <t>6299024330</t>
  </si>
  <si>
    <t>MD625HF16K1K03926</t>
  </si>
  <si>
    <t>KF1KK1909455</t>
  </si>
  <si>
    <t>TVS/1135</t>
  </si>
  <si>
    <t>RD904967880IN</t>
  </si>
  <si>
    <t>AS3072TW0035730</t>
  </si>
  <si>
    <t>2019-06-05</t>
  </si>
  <si>
    <t>Mr.BAHARUL ISLAM</t>
  </si>
  <si>
    <t>SAMACHUJ JAMAL</t>
  </si>
  <si>
    <t xml:space="preserve">S/D/O : SAMACHUJ JAMAL, DAKSHIN PANABARI, DHING, MAJJID, </t>
  </si>
  <si>
    <t>Nagaon</t>
  </si>
  <si>
    <t>782123</t>
  </si>
  <si>
    <t>8075210387</t>
  </si>
  <si>
    <t>MD637AE78K2AM4402</t>
  </si>
  <si>
    <t>AE7AK2XM3960</t>
  </si>
  <si>
    <t>TVS/1136</t>
  </si>
  <si>
    <t>RD904967893IN</t>
  </si>
  <si>
    <t>BR3058TW0189931</t>
  </si>
  <si>
    <t>2021-05-31</t>
  </si>
  <si>
    <t>Mr.RADHECHAUHAN</t>
  </si>
  <si>
    <t>MOSAFIR CHAUHAN</t>
  </si>
  <si>
    <t>S/D/O : MOSAFIR CHAUHAN, NEYA, NEYA BELDARI, SHIV MANDIR, NAWADA</t>
  </si>
  <si>
    <t>805111</t>
  </si>
  <si>
    <t>8809648643</t>
  </si>
  <si>
    <t>BR27Q4862</t>
  </si>
  <si>
    <t>MD621BP22M2D24081</t>
  </si>
  <si>
    <t>BP2DM2908027</t>
  </si>
  <si>
    <t>TVS XL 100 COM ITS BSVI</t>
  </si>
  <si>
    <t>TVS/1137</t>
  </si>
  <si>
    <t>RD904967902IN</t>
  </si>
  <si>
    <t>RJ3037TW0035403</t>
  </si>
  <si>
    <t>2020-11-24</t>
  </si>
  <si>
    <t>Mr.PURNA RAM SARAWAG</t>
  </si>
  <si>
    <t>RAMESHWAR LAL</t>
  </si>
  <si>
    <t>S/D/O : RAMESHWAR LAL, MANGASAR, RATANGARH, RAMDEV JI KE MANDIR KE PASS, CHURU</t>
  </si>
  <si>
    <t>331022</t>
  </si>
  <si>
    <t>9587289474</t>
  </si>
  <si>
    <t>RJ10SP8925</t>
  </si>
  <si>
    <t>MD625AK29L3H00788</t>
  </si>
  <si>
    <t>CK2HL1302079</t>
  </si>
  <si>
    <t>TVS/1138</t>
  </si>
  <si>
    <t>RD904967916IN</t>
  </si>
  <si>
    <t>UP3074TW0013377</t>
  </si>
  <si>
    <t>2020-01-22</t>
  </si>
  <si>
    <t>Mr.SOM PAL</t>
  </si>
  <si>
    <t>VASNT LAL</t>
  </si>
  <si>
    <t xml:space="preserve">S/D/O : VASNT LAL, HN 340 JOSHIYAN MOHALLA, SAIFNI RAMPUR SAIFNI, POLICE CHAUKI, </t>
  </si>
  <si>
    <t>202411</t>
  </si>
  <si>
    <t>7088481577</t>
  </si>
  <si>
    <t>UP22AP2715</t>
  </si>
  <si>
    <t>MD621HP18K3N09461</t>
  </si>
  <si>
    <t>CP1NK2X03462</t>
  </si>
  <si>
    <t>TVS/1139</t>
  </si>
  <si>
    <t>RD904967920IN</t>
  </si>
  <si>
    <t>DL3045TW0021702</t>
  </si>
  <si>
    <t>Mr.PAWANKUMAR</t>
  </si>
  <si>
    <t>KALU RAM</t>
  </si>
  <si>
    <t>S/D/O : KALU RAM, DINANATH PUR PUTHI, DASNA, PRAMUKH HOUSE KA PASS, GHAZIABAD</t>
  </si>
  <si>
    <t>8475959503</t>
  </si>
  <si>
    <t>UP14DK1367</t>
  </si>
  <si>
    <t>MD626EG4XH3K63788</t>
  </si>
  <si>
    <t>EG4KH2494261</t>
  </si>
  <si>
    <t>TVS/1140</t>
  </si>
  <si>
    <t>RD904967933IN</t>
  </si>
  <si>
    <t>RJ3039TW0043931</t>
  </si>
  <si>
    <t>Mrs.SARITA DEVI LAL</t>
  </si>
  <si>
    <t>DEVI LAL</t>
  </si>
  <si>
    <t>S/D/O : DEVI LAL, 1 C PARA KHET, RICO ROAD, BACK SIDE INDIAN OIL PETROL PUMP, KALDWASH UDAIPUR</t>
  </si>
  <si>
    <t>7728879748</t>
  </si>
  <si>
    <t>RJ27AC6102</t>
  </si>
  <si>
    <t>MD626CG54L3L55100</t>
  </si>
  <si>
    <t>DG5LL3504759</t>
  </si>
  <si>
    <t>JUPITER ZX BSVI – ZX DRUM</t>
  </si>
  <si>
    <t>TVS/1141</t>
  </si>
  <si>
    <t>RD904967947IN</t>
  </si>
  <si>
    <t>UP3041TW0020832</t>
  </si>
  <si>
    <t>2017-12-05</t>
  </si>
  <si>
    <t>Mr.CHHOTUKHEM CHAND</t>
  </si>
  <si>
    <t>KHEM CHAND</t>
  </si>
  <si>
    <t xml:space="preserve">S/D/O : KHEM CHAND, S/O KHEM CHAND, GARHAYA LATIFPUR FARAH MATHURA, NEAR INTER COLLEGE, </t>
  </si>
  <si>
    <t>Mathura</t>
  </si>
  <si>
    <t>281122</t>
  </si>
  <si>
    <t>9634842695</t>
  </si>
  <si>
    <t>UP85BC7550</t>
  </si>
  <si>
    <t>MD625GF10H1G40259</t>
  </si>
  <si>
    <t>GF1GH1840390</t>
  </si>
  <si>
    <t>TVS/1142</t>
  </si>
  <si>
    <t>RD904967955IN</t>
  </si>
  <si>
    <t>BR3058TW0190369</t>
  </si>
  <si>
    <t>2021-06-08</t>
  </si>
  <si>
    <t>Mr.SONADHARIRAM</t>
  </si>
  <si>
    <t>VIKRAMA RAM</t>
  </si>
  <si>
    <t>S/D/O : VIKRAMA RAM, BURHWAL WARD 3, JAGDISHPUR, KALI MAA, JAGDISHPUR,BHOJPUR</t>
  </si>
  <si>
    <t>802158</t>
  </si>
  <si>
    <t>9262546481</t>
  </si>
  <si>
    <t>BR03AG0409</t>
  </si>
  <si>
    <t>MD634AE81M2D04787</t>
  </si>
  <si>
    <t>AE8DM2304411</t>
  </si>
  <si>
    <t>TVS/1143</t>
  </si>
  <si>
    <t>RD904967964IN</t>
  </si>
  <si>
    <t>BR3068TW0010376</t>
  </si>
  <si>
    <t>2021-02-16</t>
  </si>
  <si>
    <t>Mr.DEV KARN SINGH</t>
  </si>
  <si>
    <t>SHYAM SUNDAR SINGH</t>
  </si>
  <si>
    <t>S/D/O : SHYAM SUNDAR SINGH, VILL - DHOLI WARD NO - 07, PO - SIYANI, NEAR SHIV MANDIR, PS - BHAPTIYAHI</t>
  </si>
  <si>
    <t>852105</t>
  </si>
  <si>
    <t>9817426938</t>
  </si>
  <si>
    <t>BR50U2726</t>
  </si>
  <si>
    <t>MD625BK26L3N04259</t>
  </si>
  <si>
    <t>BK2NL3903713</t>
  </si>
  <si>
    <t>TVS/1144</t>
  </si>
  <si>
    <t>RD904967978IN</t>
  </si>
  <si>
    <t>RJ3039TW0038559</t>
  </si>
  <si>
    <t>2019-08-03</t>
  </si>
  <si>
    <t>Mr.MUKANA BAVARI</t>
  </si>
  <si>
    <t>LALU BAVARI</t>
  </si>
  <si>
    <t xml:space="preserve">S/D/O : LALU BAVARI, SYAH SYAH, KURAR  MALPURA, SHIV MANDIR, </t>
  </si>
  <si>
    <t>Tonk</t>
  </si>
  <si>
    <t>304502</t>
  </si>
  <si>
    <t>7014722705</t>
  </si>
  <si>
    <t>RJ26SX2156</t>
  </si>
  <si>
    <t>MD625PF57K1C05331</t>
  </si>
  <si>
    <t>NF5CK1308299</t>
  </si>
  <si>
    <t>TVS/1145</t>
  </si>
  <si>
    <t>RD904967981IN</t>
  </si>
  <si>
    <t>RJ3016TW0046524</t>
  </si>
  <si>
    <t>2021-01-20</t>
  </si>
  <si>
    <t>Mr.VIKAS KUMAR CHAVRIYA</t>
  </si>
  <si>
    <t>KALU RAM CHAVRIYA</t>
  </si>
  <si>
    <t>S/D/O : KALU RAM CHAVRIYA, PRAGTI NAYA BAS MANDHA BHINDA, TH AMER, GOVT SCHOOL KAY PASS, DIS JAIPUR</t>
  </si>
  <si>
    <t>303712</t>
  </si>
  <si>
    <t>8441076132</t>
  </si>
  <si>
    <t>RJ41SG9767</t>
  </si>
  <si>
    <t>MD634AE84L2G01311</t>
  </si>
  <si>
    <t>AE8FL2413335</t>
  </si>
  <si>
    <t>TVS/1146</t>
  </si>
  <si>
    <t>RD904967995IN</t>
  </si>
  <si>
    <t>BR3058TW0127362</t>
  </si>
  <si>
    <t>2019-08-28</t>
  </si>
  <si>
    <t>Mr.GUNJAN KUMAR</t>
  </si>
  <si>
    <t>BASANT PRASAD SINGH</t>
  </si>
  <si>
    <t xml:space="preserve">S/D/O : BASANT PRASAD SINGH, ATT MAHGAMA, POST HARNA BUZURG, AAGAN BARI, </t>
  </si>
  <si>
    <t>Bhagalpur</t>
  </si>
  <si>
    <t>813105</t>
  </si>
  <si>
    <t>9162650410</t>
  </si>
  <si>
    <t>BR51E5328</t>
  </si>
  <si>
    <t>MD625HF1XK1E00097</t>
  </si>
  <si>
    <t>KF1DK1823250</t>
  </si>
  <si>
    <t>TVS/1147</t>
  </si>
  <si>
    <t>RD904968001IN</t>
  </si>
  <si>
    <t>RJ3016TW0043981</t>
  </si>
  <si>
    <t>2020-08-19</t>
  </si>
  <si>
    <t>Mr.KAMLESH NATHU LAL</t>
  </si>
  <si>
    <t>NATHU LAL</t>
  </si>
  <si>
    <t>S/D/O : NATHU LAL, 5, BAIRAVA MOHALLA, PADASOLI TH. BASSI, MAN MARKET PADASOLI, JAIPUR</t>
  </si>
  <si>
    <t>303305</t>
  </si>
  <si>
    <t>9116805594</t>
  </si>
  <si>
    <t>RJ14ZJ9988</t>
  </si>
  <si>
    <t>MD625BK27L3F00496</t>
  </si>
  <si>
    <t>BK2FL3400324</t>
  </si>
  <si>
    <t>TVS/1148</t>
  </si>
  <si>
    <t>RD904968015IN</t>
  </si>
  <si>
    <t>CG3015CA0002678</t>
  </si>
  <si>
    <t>2022-05-14</t>
  </si>
  <si>
    <t>2018-11-20</t>
  </si>
  <si>
    <t>Mr.MUKESHKUMAR</t>
  </si>
  <si>
    <t>ARUN KUMAR</t>
  </si>
  <si>
    <t>S/D/O : ARUN KUMAR, H NO 176 STATION ROAD HSCL MARODA, MARODA COLONY NAWAI, NR ROAD, DURG</t>
  </si>
  <si>
    <t>Durg</t>
  </si>
  <si>
    <t>490006</t>
  </si>
  <si>
    <t>9179308847</t>
  </si>
  <si>
    <t>CG04KX2613</t>
  </si>
  <si>
    <t>MEEHSRAW5DC045352</t>
  </si>
  <si>
    <t>E047853</t>
  </si>
  <si>
    <t>RENAULT DUSTER 85 PS RXE DIESEL</t>
  </si>
  <si>
    <t>TVS/1149</t>
  </si>
  <si>
    <t>RD904968029IN</t>
  </si>
  <si>
    <t>MP3010CA0002909</t>
  </si>
  <si>
    <t>2019-02-26</t>
  </si>
  <si>
    <t>Mr.DHANVEERKIRAR</t>
  </si>
  <si>
    <t>RAM SINGH</t>
  </si>
  <si>
    <t>S/D/O : RAM SINGH, AHMDA NAGAR, VIDISHA, MAIN ROAD, DIST VIDISHA</t>
  </si>
  <si>
    <t>Vidisha</t>
  </si>
  <si>
    <t>464113</t>
  </si>
  <si>
    <t>9131387633</t>
  </si>
  <si>
    <t>MH04GD3203</t>
  </si>
  <si>
    <t>MAJBXXMRTBEA57227</t>
  </si>
  <si>
    <t>FORD FIESTA CLASSIC LXI 1.4 TDCI DIESEL</t>
  </si>
  <si>
    <t>TVS/1150</t>
  </si>
  <si>
    <t>RD904968032IN</t>
  </si>
  <si>
    <t>MP3010CA0001515</t>
  </si>
  <si>
    <t>2017-05-24</t>
  </si>
  <si>
    <t>Mrs.HARJEETKAUR</t>
  </si>
  <si>
    <t>JOGINDER</t>
  </si>
  <si>
    <t xml:space="preserve">S/D/O : JOGINDER, 33 D SEC NEAR GURUDWAARA GOVINDPURA, BHOPAL HUZUR BHOPAL, GURDWARA, </t>
  </si>
  <si>
    <t>462001</t>
  </si>
  <si>
    <t>9111988827</t>
  </si>
  <si>
    <t>MP04CJ3465</t>
  </si>
  <si>
    <t>MAKDD172CCN001239</t>
  </si>
  <si>
    <t>L12B31004847</t>
  </si>
  <si>
    <t>HONDA BRIO S MT O PETROL 2012</t>
  </si>
  <si>
    <t>TVS/1151</t>
  </si>
  <si>
    <t>RD904968046IN</t>
  </si>
  <si>
    <t>UP3038TW0051730</t>
  </si>
  <si>
    <t>2019-04-03</t>
  </si>
  <si>
    <t>Mr.JILAJEET KUMAR</t>
  </si>
  <si>
    <t>RAMDHARI</t>
  </si>
  <si>
    <t xml:space="preserve">S/D/O : RAMDHARI, NAIBASTI GORAPATTI PARIYATJAUNPUR JAUNPUR, SAMEAS, PANI TANKI, </t>
  </si>
  <si>
    <t>UP62BW2355</t>
  </si>
  <si>
    <t>MD625HF11K1C03187</t>
  </si>
  <si>
    <t>KF1CK1503132</t>
  </si>
  <si>
    <t>TVS/1152</t>
  </si>
  <si>
    <t>RD904968050IN</t>
  </si>
  <si>
    <t>UP3064TW0020730</t>
  </si>
  <si>
    <t>2018-01-12</t>
  </si>
  <si>
    <t>Mr.BHUREKHAN</t>
  </si>
  <si>
    <t>AMRUDDIN</t>
  </si>
  <si>
    <t>S/D/O : AMRUDDIN, S/O AMRUDDIN, MADAR GADDA BHOJ GARHI, NEAR SHIB TEMPLE, SASNI HATHRAS</t>
  </si>
  <si>
    <t>UP86X5039</t>
  </si>
  <si>
    <t>MD621DP18H1L37879</t>
  </si>
  <si>
    <t>DP1LH1X96249</t>
  </si>
  <si>
    <t>TVS/1153</t>
  </si>
  <si>
    <t>RD904968063IN</t>
  </si>
  <si>
    <t>UP3041TW0017721</t>
  </si>
  <si>
    <t>2022-05-13</t>
  </si>
  <si>
    <t>2017-06-30</t>
  </si>
  <si>
    <t>Mr.DAYASHANKAR</t>
  </si>
  <si>
    <t>EVARAN SINGH</t>
  </si>
  <si>
    <t xml:space="preserve">S/D/O : EVARAN SINGH, S/O EVARAN SINGH, VILL JAHANPUR FIROZABAD, NR SARKARI HAND PUMP, </t>
  </si>
  <si>
    <t>Firozabad</t>
  </si>
  <si>
    <t>MD625PF50H3E21236</t>
  </si>
  <si>
    <t>NF5EH1440825</t>
  </si>
  <si>
    <t>TVS/1154</t>
  </si>
  <si>
    <t>RD904968077IN</t>
  </si>
  <si>
    <t>BR3058TW0178046</t>
  </si>
  <si>
    <t>Mr.CHUNNU KUMAR PANDEY</t>
  </si>
  <si>
    <t>SANJAY PANDEY</t>
  </si>
  <si>
    <t>S/D/O : SANJAY PANDEY, AT-NAND TOLA, PO-RAM PARSAUNA, PS-SATHI, NEAR DURGA MANDIR, DIST-WEST CHAMPARAN</t>
  </si>
  <si>
    <t>West Champaran</t>
  </si>
  <si>
    <t>BR22AS7655</t>
  </si>
  <si>
    <t>MD634AE8XL2L02077</t>
  </si>
  <si>
    <t>AE8LL2702020</t>
  </si>
  <si>
    <t>TVS/1155</t>
  </si>
  <si>
    <t>RD904968085IN</t>
  </si>
  <si>
    <t>UP3041TW0030755</t>
  </si>
  <si>
    <t>2022-05-12</t>
  </si>
  <si>
    <t>2019-10-17</t>
  </si>
  <si>
    <t>Mr.NAWAL SINGH</t>
  </si>
  <si>
    <t>BAPPY</t>
  </si>
  <si>
    <t xml:space="preserve">S/D/O : BAPPY, DEORI ROAD AGRA,VILLAGE-SAIMARI TAL,POST-SAIMARI A, , TALAB AND DHARMSAAL KE PASS, </t>
  </si>
  <si>
    <t>UP80FE9447</t>
  </si>
  <si>
    <t>MD634CE42K2C11458</t>
  </si>
  <si>
    <t>CE4CK2510770</t>
  </si>
  <si>
    <t>TVS/1156</t>
  </si>
  <si>
    <t>RD904968094IN</t>
  </si>
  <si>
    <t>UP3041TW0017498</t>
  </si>
  <si>
    <t>2017-06-19</t>
  </si>
  <si>
    <t>Mr.YOGENDRAYADAV</t>
  </si>
  <si>
    <t>JAGDISH YADAV</t>
  </si>
  <si>
    <t>S/D/O : JAGDISH YADAV, S/O JAGDISH YADAV, VIJENDRA COLONY SHIKOHABAD, AHUJA DEGRI COLLEGE SHIKOHABAD, FIROZABAD</t>
  </si>
  <si>
    <t>UP83AM9832</t>
  </si>
  <si>
    <t>MD625PF56H3E****2</t>
  </si>
  <si>
    <t>NF5EH18****8</t>
  </si>
  <si>
    <t>TVS/1157</t>
  </si>
  <si>
    <t>RD904968103IN</t>
  </si>
  <si>
    <t>UP3064TW0025075</t>
  </si>
  <si>
    <t>Mrs.SHAHNAJ</t>
  </si>
  <si>
    <t>SHAKIL</t>
  </si>
  <si>
    <t xml:space="preserve">S/D/O : SHAKIL, MAHALLA DHOBIYAN, MURSAN, MASJID, </t>
  </si>
  <si>
    <t>UP86AC9453</t>
  </si>
  <si>
    <t>MD626EG45J1G90039</t>
  </si>
  <si>
    <t>EG4GJ1538014</t>
  </si>
  <si>
    <t>TVS/1158</t>
  </si>
  <si>
    <t>RD904968117IN</t>
  </si>
  <si>
    <t>UP3041TW0032380</t>
  </si>
  <si>
    <t>2019-12-19</t>
  </si>
  <si>
    <t>Mr.VISHNU SAUDAN SINGH</t>
  </si>
  <si>
    <t>SAUDAN SINGH</t>
  </si>
  <si>
    <t xml:space="preserve">S/D/O : SAUDAN SINGH, 14 VILL, KOH PEENGARI FARAH, NEAR PATHWARI MANDIR KOH, </t>
  </si>
  <si>
    <t>UP85BQ5458</t>
  </si>
  <si>
    <t>4455555</t>
  </si>
  <si>
    <t>78987888</t>
  </si>
  <si>
    <t>APACHE RTR 160 CC EFI</t>
  </si>
  <si>
    <t>TVS/1159</t>
  </si>
  <si>
    <t>RD904968125IN</t>
  </si>
  <si>
    <t>UP3041TW0022015</t>
  </si>
  <si>
    <t>2018-03-20</t>
  </si>
  <si>
    <t>Mr.AMANATBHARATI</t>
  </si>
  <si>
    <t>JUMMAN BHARATI</t>
  </si>
  <si>
    <t>S/D/O : JUMMAN BHARATI, S/O JUMMAN BHARATI, RAMGARH NAGLA GULRIYA, KANNAHIYA PUBLIC SCHOOL, FIROZABAD</t>
  </si>
  <si>
    <t>UP83AQ4994</t>
  </si>
  <si>
    <t>MD621DP11J2A07827</t>
  </si>
  <si>
    <t>DP1BJ2211654</t>
  </si>
  <si>
    <t>TVS/1160</t>
  </si>
  <si>
    <t>RD904968134IN</t>
  </si>
  <si>
    <t>UP3035TW0029517</t>
  </si>
  <si>
    <t>2019-05-29</t>
  </si>
  <si>
    <t>Mr.RAMOTAR MUKANDI</t>
  </si>
  <si>
    <t>MUKANDI</t>
  </si>
  <si>
    <t xml:space="preserve">S/D/O : MUKANDI, GRAM SHAZADPUR, POST NANGAL HARCHANDPUR BIJNOR, SCHOOL, </t>
  </si>
  <si>
    <t>UP20BM7285</t>
  </si>
  <si>
    <t>MD625PF5XK1C04917</t>
  </si>
  <si>
    <t>NF5CK1707762</t>
  </si>
  <si>
    <t>TVS/1161</t>
  </si>
  <si>
    <t>RD904968148IN</t>
  </si>
  <si>
    <t>UP3064TW0027771</t>
  </si>
  <si>
    <t>2019-02-12</t>
  </si>
  <si>
    <t>Mr.JAMIDAR SINGH</t>
  </si>
  <si>
    <t>NAVAB SINGH</t>
  </si>
  <si>
    <t xml:space="preserve">S/D/O : NAVAB SINGH, VILL DUBHIYA, AKRABAD, SHIV MANDIR, </t>
  </si>
  <si>
    <t>MD621EP1XK3A05673</t>
  </si>
  <si>
    <t>CP1AK2805429</t>
  </si>
  <si>
    <t>TVS/1162</t>
  </si>
  <si>
    <t>RD904968151IN</t>
  </si>
  <si>
    <t>RJ3016TW0034349</t>
  </si>
  <si>
    <t>Mr.VALI MOHMMAD</t>
  </si>
  <si>
    <t>JABBAR</t>
  </si>
  <si>
    <t xml:space="preserve">S/D/O : JABBAR, VILL RAMPURA BHIWADI TEH TIJARA ALWAR , , NEAR SHIV MANDIR, </t>
  </si>
  <si>
    <t>RJ40SF4612</t>
  </si>
  <si>
    <t>MD625HF16K1A01560</t>
  </si>
  <si>
    <t>KF1AK1701441</t>
  </si>
  <si>
    <t>TVS/1163</t>
  </si>
  <si>
    <t>RD904968165IN</t>
  </si>
  <si>
    <t>UP3052TW0035611</t>
  </si>
  <si>
    <t>2019-04-29</t>
  </si>
  <si>
    <t>Mr.ASIF IBRAHIM KHAN</t>
  </si>
  <si>
    <t>IBRAHIM KHAN</t>
  </si>
  <si>
    <t xml:space="preserve">S/D/O : IBRAHIM KHAN, HOUSE NUMBER 7,FOOTACHAH,SARDHANA , , LAL KUA, </t>
  </si>
  <si>
    <t>UP15CY4342</t>
  </si>
  <si>
    <t>MD626EG41K3A28609</t>
  </si>
  <si>
    <t>EG4AK3200227</t>
  </si>
  <si>
    <t>TVS/1164</t>
  </si>
  <si>
    <t>RD904968179IN</t>
  </si>
  <si>
    <t>MP3012UT0008135</t>
  </si>
  <si>
    <t>2021-10-18</t>
  </si>
  <si>
    <t>Mr.ANIL  JAISAWAL</t>
  </si>
  <si>
    <t>CHHOTELAL</t>
  </si>
  <si>
    <t xml:space="preserve">S/D/O : CHHOTELAL, 42 GRAM DUARI TEH TYONTHAR, DIST REWA, NR PARMATI MATA KA MANDIR, </t>
  </si>
  <si>
    <t>MP17MK6143</t>
  </si>
  <si>
    <t>MD625MF57E1A80351</t>
  </si>
  <si>
    <t>DF5AE1093949</t>
  </si>
  <si>
    <t>TVS/1165</t>
  </si>
  <si>
    <t>RD904968182IN</t>
  </si>
  <si>
    <t>MP3012TW0104019</t>
  </si>
  <si>
    <t>2022-01-06</t>
  </si>
  <si>
    <t>Mr.SUDARSHANMESHRAM</t>
  </si>
  <si>
    <t>JAGDISH MESHRAM</t>
  </si>
  <si>
    <t xml:space="preserve">S/D/O : JAGDISH MESHRAM, WARD NO 24 INDIRA NAGAR BALAGHAT BALAGHAT ,  , INDIRA NAGAR, </t>
  </si>
  <si>
    <t>Balaghat</t>
  </si>
  <si>
    <t>MD621BP23M1L36758</t>
  </si>
  <si>
    <t>BP2LM1333195</t>
  </si>
  <si>
    <t>TVS/1166</t>
  </si>
  <si>
    <t>RD904968196IN</t>
  </si>
  <si>
    <t>UP3064TW0020319</t>
  </si>
  <si>
    <t>Mr.YASHVENDRACHAUDHARI</t>
  </si>
  <si>
    <t>CHANDRA PAL</t>
  </si>
  <si>
    <t xml:space="preserve">S/D/O : CHANDRA PAL, S/O CHANDRA PAL, SASNI ROAD IGLAS ALIGARH, SAYAD BABA MAJAR, </t>
  </si>
  <si>
    <t>UP81BX3080</t>
  </si>
  <si>
    <t>MD626EG42H3K68435</t>
  </si>
  <si>
    <t>EG4HH2438012</t>
  </si>
  <si>
    <t>TVS/1167</t>
  </si>
  <si>
    <t>RD904968205IN</t>
  </si>
  <si>
    <t>MP3011TW0061717</t>
  </si>
  <si>
    <t>2019-11-06</t>
  </si>
  <si>
    <t>Mr.KAMAL BABULAL</t>
  </si>
  <si>
    <t>BABULAL</t>
  </si>
  <si>
    <t xml:space="preserve">S/D/O : BABULAL, 158 VILLAGE PIPALIYA KAMIN, TEH.DHARAMPURI, NEAR JANPAT, </t>
  </si>
  <si>
    <t>Dhar</t>
  </si>
  <si>
    <t>MP11NC1857</t>
  </si>
  <si>
    <t>MD625PF58K1B04296</t>
  </si>
  <si>
    <t>NF5BK1505246</t>
  </si>
  <si>
    <t>TVS/1168</t>
  </si>
  <si>
    <t>RD904968219IN</t>
  </si>
  <si>
    <t>UP3041UT0001176</t>
  </si>
  <si>
    <t>2022-05-07</t>
  </si>
  <si>
    <t>Mr.GIRJASHANKAR</t>
  </si>
  <si>
    <t>NATHO RAM SHARMA</t>
  </si>
  <si>
    <t>S/D/O : NATHO RAM SHARMA, 62/259 MAGLA KAACHIYAAN AGRA, CANTT AGRA, HANUMAN MANDIR, AGRA</t>
  </si>
  <si>
    <t>UP80DM2409</t>
  </si>
  <si>
    <t>MD621CP15F2L05988</t>
  </si>
  <si>
    <t>OP1LF2006186</t>
  </si>
  <si>
    <t>TVS/1169</t>
  </si>
  <si>
    <t>RD904968222IN</t>
  </si>
  <si>
    <t>RJ3016TW0044841</t>
  </si>
  <si>
    <t>2020-10-22</t>
  </si>
  <si>
    <t>Miss.SANJU MALCHAND</t>
  </si>
  <si>
    <t>MALCHAND</t>
  </si>
  <si>
    <t>S/D/O : MALCHAND, RAIGARO KA MOHALLA, BOYATAWALA, BHARU TAMPLE, BENAR JAIPUR</t>
  </si>
  <si>
    <t>RJ14YJ1489</t>
  </si>
  <si>
    <t>MD625CK21L3K00102</t>
  </si>
  <si>
    <t>DK2HL1609841</t>
  </si>
  <si>
    <t>TVS/1170</t>
  </si>
  <si>
    <t>RD904968236IN</t>
  </si>
  <si>
    <t>UP3041TW0034891</t>
  </si>
  <si>
    <t>2020-08-25</t>
  </si>
  <si>
    <t>Mr.PRAVEEN SHARMA</t>
  </si>
  <si>
    <t>SITARAM</t>
  </si>
  <si>
    <t>S/D/O : SITARAM, NAYABANS, POST JAKHAI, NEAR PREMARI SCHOOL, FIROZABAD</t>
  </si>
  <si>
    <t>UP83BA6671</t>
  </si>
  <si>
    <t>MD625CK28L1G01337</t>
  </si>
  <si>
    <t>DK2GL1401948</t>
  </si>
  <si>
    <t>TVS/1171</t>
  </si>
  <si>
    <t>RD904968240IN</t>
  </si>
  <si>
    <t>UP3041TW0032896</t>
  </si>
  <si>
    <t>2020-01-30</t>
  </si>
  <si>
    <t>Mrs.PARUL JAIN</t>
  </si>
  <si>
    <t>JITENDRA KUMAR</t>
  </si>
  <si>
    <t xml:space="preserve">S/D/O : JITENDRA KUMAR, 111 PUL KAHARAN  CHAUKI, SHAMSHERI, VLCC SHOWROOM, </t>
  </si>
  <si>
    <t>Etawah</t>
  </si>
  <si>
    <t>UP75AH9526</t>
  </si>
  <si>
    <t>MD626EG49K1K90838</t>
  </si>
  <si>
    <t>DG4KK1326283</t>
  </si>
  <si>
    <t>TVS/1172</t>
  </si>
  <si>
    <t>RD904968253IN</t>
  </si>
  <si>
    <t>UP3074TW0005943</t>
  </si>
  <si>
    <t>2016-11-30</t>
  </si>
  <si>
    <t>Mr.DESHRAJKUMAR</t>
  </si>
  <si>
    <t>HAR SARAN</t>
  </si>
  <si>
    <t>S/D/O : HAR SARAN, S/O HAR SARAN, VILL GILADI MUMINPUR URF GILADI NEHTAUR, MANDIR, DHAMPUR BIJNOR</t>
  </si>
  <si>
    <t>UP20AX3756</t>
  </si>
  <si>
    <t>MD625CF10G3F38939</t>
  </si>
  <si>
    <t>CF1FG1416625</t>
  </si>
  <si>
    <t>TVS/1173</t>
  </si>
  <si>
    <t>RD904968267IN</t>
  </si>
  <si>
    <t>UP3041TW0024560</t>
  </si>
  <si>
    <t>2022-04-30</t>
  </si>
  <si>
    <t>2018-11-06</t>
  </si>
  <si>
    <t>Mr.SANJAY KUMAR</t>
  </si>
  <si>
    <t>HARI SHANKAR</t>
  </si>
  <si>
    <t xml:space="preserve">S/D/O : HARI SHANKAR, BAAD BAAD, MATHURA, SCHOOL, </t>
  </si>
  <si>
    <t>UP85BH8594</t>
  </si>
  <si>
    <t>MD626EG44J3G79568</t>
  </si>
  <si>
    <t>EG4GJ1112982</t>
  </si>
  <si>
    <t>JUPITER 110 CC REFRESH</t>
  </si>
  <si>
    <t>TVS/1174</t>
  </si>
  <si>
    <t>RD904968275IN</t>
  </si>
  <si>
    <t>MP3011TW0018728</t>
  </si>
  <si>
    <t>2022-05-10</t>
  </si>
  <si>
    <t>2015-12-16</t>
  </si>
  <si>
    <t>Mr.CHANDRESHADHIKAR</t>
  </si>
  <si>
    <t>GIREESH ADHIKAR</t>
  </si>
  <si>
    <t xml:space="preserve">S/D/O : GIREESH ADHIKAR, H NO 79 A VISHWAKARMA NAGAR ANNAPURNA, ROAD INDORE, NEAR CHITOODA DADAHARNSALA, </t>
  </si>
  <si>
    <t>MP09QR5392</t>
  </si>
  <si>
    <t>MD625CF13F1H23495</t>
  </si>
  <si>
    <t>CF1HF1342807</t>
  </si>
  <si>
    <t>TVS/1175</t>
  </si>
  <si>
    <t>RD904968284IN</t>
  </si>
  <si>
    <t>MP3011TW0042105</t>
  </si>
  <si>
    <t>2018-05-25</t>
  </si>
  <si>
    <t>Mr.HARI SINGHTOMAR</t>
  </si>
  <si>
    <t>SHIV</t>
  </si>
  <si>
    <t xml:space="preserve">S/D/O : SHIV, W.N.7 GRAM-CHANDAN AGAR, , NEAR ROAD, </t>
  </si>
  <si>
    <t>Shajapur</t>
  </si>
  <si>
    <t>MP70MB2209</t>
  </si>
  <si>
    <t>MD626EG42J3C20264</t>
  </si>
  <si>
    <t>EG4CJ1646248</t>
  </si>
  <si>
    <t>TVS/1176</t>
  </si>
  <si>
    <t>RD904968298IN</t>
  </si>
  <si>
    <t>BR3058TW0138073</t>
  </si>
  <si>
    <t>Mr.RAJKUMAR  SUPER</t>
  </si>
  <si>
    <t>RAMESHWAR SUPER</t>
  </si>
  <si>
    <t xml:space="preserve">S/D/O : RAMESHWAR SUPER, GOLAGHAT ROAD NEAR  BISHHARO, JAGDISHPUR, NEAR BISHHARI ASTHAN, </t>
  </si>
  <si>
    <t>APACHE 160 FD 2V ABS</t>
  </si>
  <si>
    <t>TVS/1177</t>
  </si>
  <si>
    <t>RD904968307IN</t>
  </si>
  <si>
    <t>BR3058TW0104501</t>
  </si>
  <si>
    <t>2019-03-16</t>
  </si>
  <si>
    <t>Mr.RAJAN KUMAR PANDA</t>
  </si>
  <si>
    <t>BALESHWAR PANDA</t>
  </si>
  <si>
    <t xml:space="preserve">S/D/O : BALESHWAR PANDA, AT-DEURAVA PO-LAURIYA, PS-LAURIYA, MANDIR, </t>
  </si>
  <si>
    <t>BR22AK4294</t>
  </si>
  <si>
    <t>MD625GF17K1A23888</t>
  </si>
  <si>
    <t>LF1AK13L1061</t>
  </si>
  <si>
    <t>TVS/1178</t>
  </si>
  <si>
    <t>RD904968315IN</t>
  </si>
  <si>
    <t>MP3011TW0026811</t>
  </si>
  <si>
    <t>Mr.NARENDRA KUMARPALOD</t>
  </si>
  <si>
    <t>GOPALKRISHN PALOD</t>
  </si>
  <si>
    <t>S/D/O : GOPALKRISHN PALOD, WD NO 14 KAILASH NATH, KADJV GALI BHANUARIYA GALI, NR MATA MANDIR, JAWAD NEEMUCH</t>
  </si>
  <si>
    <t>Neemuch</t>
  </si>
  <si>
    <t>MP44MN4281</t>
  </si>
  <si>
    <t>MD625MF58G1L49795</t>
  </si>
  <si>
    <t>CF5LG1829833</t>
  </si>
  <si>
    <t>TVS/1179</t>
  </si>
  <si>
    <t>RD904968324IN</t>
  </si>
  <si>
    <t>MP3011UT0005900</t>
  </si>
  <si>
    <t>2019-07-31</t>
  </si>
  <si>
    <t>Mr.AFTAB  KHAN</t>
  </si>
  <si>
    <t>AFAQUE</t>
  </si>
  <si>
    <t xml:space="preserve">S/D/O : AFAQUE, HOUSE NO.-80, VIRAT NAGAR, AAGAR NAKA, </t>
  </si>
  <si>
    <t>Ujjain</t>
  </si>
  <si>
    <t>MP13EM3822</t>
  </si>
  <si>
    <t>MD625CF13G1B17597</t>
  </si>
  <si>
    <t>CF1BG1457782</t>
  </si>
  <si>
    <t>TVS/1180</t>
  </si>
  <si>
    <t>RD904968338IN</t>
  </si>
  <si>
    <t>UP3064TW0024940</t>
  </si>
  <si>
    <t>2018-10-25</t>
  </si>
  <si>
    <t>Mr.SUSHILKUMAR</t>
  </si>
  <si>
    <t>GOPI CHANDRA</t>
  </si>
  <si>
    <t>S/D/O : GOPI CHANDRA, HARAULI KGW SASNI, SASNI, SASNI, SANI HATHRAS</t>
  </si>
  <si>
    <t>UP86Z1842</t>
  </si>
  <si>
    <t>MD621EP14J3D13985</t>
  </si>
  <si>
    <t>DP1DJ2354374</t>
  </si>
  <si>
    <t>TVS/1181</t>
  </si>
  <si>
    <t>RD904968341IN</t>
  </si>
  <si>
    <t>RJ3016TW0047571</t>
  </si>
  <si>
    <t>2021-05-25</t>
  </si>
  <si>
    <t>Mr.PRASHANTYADAV</t>
  </si>
  <si>
    <t>RAMESH CHAND YADAV</t>
  </si>
  <si>
    <t>S/D/O : RAMESH CHAND YADAV, VILL CHURI POST BANETI, TH KOTPUTLI, SHIV MANDIR, JAIPUR</t>
  </si>
  <si>
    <t>RJ32SK2047</t>
  </si>
  <si>
    <t>MD634AE9XM2C00372</t>
  </si>
  <si>
    <t>AE9CM2X00381</t>
  </si>
  <si>
    <t>TVS/1182</t>
  </si>
  <si>
    <t>RD904968355IN</t>
  </si>
  <si>
    <t>MP3012TW0096089</t>
  </si>
  <si>
    <t>2021-03-25</t>
  </si>
  <si>
    <t>Mr.AMRITLALGUPTA</t>
  </si>
  <si>
    <t>BATUSAN GUPTA</t>
  </si>
  <si>
    <t>S/D/O : BATUSAN GUPTA, 7,VILLAGE BAHERA, POST SONBARSHA, GOVT SCHOOL, TEH-SIHAWAL</t>
  </si>
  <si>
    <t>MP53MK7862</t>
  </si>
  <si>
    <t>MD621BP25M3A04392</t>
  </si>
  <si>
    <t>BP2NL2520977</t>
  </si>
  <si>
    <t>TVS/1183</t>
  </si>
  <si>
    <t>RD904968369IN</t>
  </si>
  <si>
    <t>UP3035TW0014121</t>
  </si>
  <si>
    <t>2017-05-09</t>
  </si>
  <si>
    <t>Mr.YADHASAN</t>
  </si>
  <si>
    <t>VAHEED</t>
  </si>
  <si>
    <t xml:space="preserve">S/D/O : VAHEED, HNO 107 VPO BADSHANPUR, HARIDWAR, JAKIR PRADHAN HOUSE, </t>
  </si>
  <si>
    <t>UK08AN9631</t>
  </si>
  <si>
    <t>MD625FF11H3C03983</t>
  </si>
  <si>
    <t>FF1DH1X24703</t>
  </si>
  <si>
    <t>TVS/1184</t>
  </si>
  <si>
    <t>RD904968372IN</t>
  </si>
  <si>
    <t>UP3041TW0024998</t>
  </si>
  <si>
    <t>2022-05-09</t>
  </si>
  <si>
    <t>2018-11-19</t>
  </si>
  <si>
    <t>Mr.LOKAN SINGH</t>
  </si>
  <si>
    <t xml:space="preserve">S/D/O : RAM SINGH, BALHERA, PO-MALPURA, ANVAR GANREL STORE, </t>
  </si>
  <si>
    <t>UP80EW6481</t>
  </si>
  <si>
    <t>MD625HF14J1N00644</t>
  </si>
  <si>
    <t>KF1NJ1100484</t>
  </si>
  <si>
    <t>TVS/1185</t>
  </si>
  <si>
    <t>RD904968386IN</t>
  </si>
  <si>
    <t>CG3015TW0020560</t>
  </si>
  <si>
    <t>2016-10-18</t>
  </si>
  <si>
    <t>Mr.RAMASHANKARSINGH</t>
  </si>
  <si>
    <t>GULAB CHAND</t>
  </si>
  <si>
    <t>S/D/O : GULAB CHAND, SURAJPUR, KHARSURA, TRANS FARMER, KARANJI</t>
  </si>
  <si>
    <t>CG15DA8528</t>
  </si>
  <si>
    <t>MD626SF42F1K53073</t>
  </si>
  <si>
    <t>FF4KF1038134</t>
  </si>
  <si>
    <t>TVS/1186</t>
  </si>
  <si>
    <t>RD904968390IN</t>
  </si>
  <si>
    <t>UP3041TW0032624</t>
  </si>
  <si>
    <t>2020-01-10</t>
  </si>
  <si>
    <t>Mr.MUNESH KUMAR</t>
  </si>
  <si>
    <t>RAJVEER SINGH</t>
  </si>
  <si>
    <t xml:space="preserve">S/D/O : RAJVEER SINGH, ARSENA  ARSENA AGRA ,  , NEAR MA SHARADA SCHOOL, </t>
  </si>
  <si>
    <t>UP80FM7319</t>
  </si>
  <si>
    <t>MD625PF56K3L70479</t>
  </si>
  <si>
    <t>NF5KK1506168</t>
  </si>
  <si>
    <t>TVS/1187</t>
  </si>
  <si>
    <t>RD904968409IN</t>
  </si>
  <si>
    <t>RJ3037TW0023410</t>
  </si>
  <si>
    <t>Mr.BHALARAMJODHARAM</t>
  </si>
  <si>
    <t>JODHARAM</t>
  </si>
  <si>
    <t>S/D/O : JODHARAM, WARD NO 15 RAMPURA MATORIYA, RAWATSAR HANUMANGARH, GOVT SCHOOL KE PAS, HANUMANGARH</t>
  </si>
  <si>
    <t>RJ49SE1056</t>
  </si>
  <si>
    <t>MD625PF51J3L76351</t>
  </si>
  <si>
    <t>NF5KJ16A3073</t>
  </si>
  <si>
    <t>TVS/1188</t>
  </si>
  <si>
    <t>RD904968412IN</t>
  </si>
  <si>
    <t>AS3072TW0054548</t>
  </si>
  <si>
    <t>Mr.MOHAMMAD JUNU</t>
  </si>
  <si>
    <t>ABDUL CHATTAR</t>
  </si>
  <si>
    <t>S/D/O : ABDUL CHATTAR, NEPALI PATTI, TEZPUR, NEAR KALI MANDIR, SONITPUR</t>
  </si>
  <si>
    <t>Sonitpur</t>
  </si>
  <si>
    <t>AS12AA1262</t>
  </si>
  <si>
    <t>MD637DE56L2H09640</t>
  </si>
  <si>
    <t>DE5HL2009654</t>
  </si>
  <si>
    <t>APACHE RTR 160 4V BSVI DISC</t>
  </si>
  <si>
    <t>TVS/1189</t>
  </si>
  <si>
    <t>RD904968426IN</t>
  </si>
  <si>
    <t>BR3058TW0195273</t>
  </si>
  <si>
    <t>2021-09-11</t>
  </si>
  <si>
    <t>Mr.MAHESHRAM</t>
  </si>
  <si>
    <t>SURESH RAM</t>
  </si>
  <si>
    <t>S/D/O : SURESH RAM, BAGAHI, BAKHARI KESHO, NEAR MANDIR, PIAR</t>
  </si>
  <si>
    <t>BR06CT1961</t>
  </si>
  <si>
    <t>MD634AE81M2G07679</t>
  </si>
  <si>
    <t>AE8GM2006828</t>
  </si>
  <si>
    <t>TVS/1190</t>
  </si>
  <si>
    <t>RD904968430IN</t>
  </si>
  <si>
    <t>UP3064TW0030630</t>
  </si>
  <si>
    <t>2019-08-12</t>
  </si>
  <si>
    <t>Mr.SHAILENDRA KUMAR</t>
  </si>
  <si>
    <t>CHHATRAPAL SINGH</t>
  </si>
  <si>
    <t xml:space="preserve">S/D/O : CHHATRAPAL SINGH, KAILORA, HATHRAS JACTION, SARKARI NAL, </t>
  </si>
  <si>
    <t>UP86AB2691</t>
  </si>
  <si>
    <t>MD625PF59K1D00456</t>
  </si>
  <si>
    <t>NF5DK1400316</t>
  </si>
  <si>
    <t>TVS/1191</t>
  </si>
  <si>
    <t>RD904968443IN</t>
  </si>
  <si>
    <t>UP3041TW0027100</t>
  </si>
  <si>
    <t>2019-02-28</t>
  </si>
  <si>
    <t>Mr.ARUN  PRAKASH</t>
  </si>
  <si>
    <t>SATYPRAKASH</t>
  </si>
  <si>
    <t xml:space="preserve">S/D/O : SATYPRAKASH, GADHMUKHA,KAGAROL,AGRA , , BALMIKI BASTI AND BAR KA PADE, </t>
  </si>
  <si>
    <t>UP80EZ1143</t>
  </si>
  <si>
    <t>MD625PF58J3P04445</t>
  </si>
  <si>
    <t>PF5LJ12A7761</t>
  </si>
  <si>
    <t>TVS/1192</t>
  </si>
  <si>
    <t>RD904968457IN</t>
  </si>
  <si>
    <t>UP3033TW0027097</t>
  </si>
  <si>
    <t>Mr.MOHIB BEG</t>
  </si>
  <si>
    <t>TASABBAR BEG</t>
  </si>
  <si>
    <t xml:space="preserve">S/D/O : TASABBAR BEG, SHERPUR KALAN, PILIBHIT, MASJID, </t>
  </si>
  <si>
    <t>Pilibhit</t>
  </si>
  <si>
    <t>UP26AC3212</t>
  </si>
  <si>
    <t>MD625GF16J1F28457</t>
  </si>
  <si>
    <t>LF1FJ1416173</t>
  </si>
  <si>
    <t>TVS/1193</t>
  </si>
  <si>
    <t>RD904968465IN</t>
  </si>
  <si>
    <t>UP3041TW0034138</t>
  </si>
  <si>
    <t>2020-06-25</t>
  </si>
  <si>
    <t>Mr.KRISHANA HARI</t>
  </si>
  <si>
    <t>S/D/O : SAUDAN SINGH, KHEDA BAUGAR, JAGNER ROAD, MAHADEV MANDIR KE PASS, MANKENDA AGRA</t>
  </si>
  <si>
    <t>UP80FN1769</t>
  </si>
  <si>
    <t>MD634AE86L2C13965</t>
  </si>
  <si>
    <t>AE8CL2313692</t>
  </si>
  <si>
    <t>TVS/1194</t>
  </si>
  <si>
    <t>RD904968474IN</t>
  </si>
  <si>
    <t>RJ3016TW0041779</t>
  </si>
  <si>
    <t>2019-12-24</t>
  </si>
  <si>
    <t>Mr.MANOJ  KUMAR</t>
  </si>
  <si>
    <t>JAGDISH PARSHAD</t>
  </si>
  <si>
    <t xml:space="preserve">S/D/O : JAGDISH PARSHAD, KHATIKO KA MOHALLA, MED, KHATIKO KA MOHALLA, </t>
  </si>
  <si>
    <t>RJ52SE2206</t>
  </si>
  <si>
    <t>MD625PF54K1K01394</t>
  </si>
  <si>
    <t>NF5KK1702266</t>
  </si>
  <si>
    <t>TVS/1195</t>
  </si>
  <si>
    <t>RD904968488IN</t>
  </si>
  <si>
    <t>UP3041TW07648</t>
  </si>
  <si>
    <t>2015-06-15</t>
  </si>
  <si>
    <t>Mr.AKBARSHAH</t>
  </si>
  <si>
    <t>DHURIYA SHAHA</t>
  </si>
  <si>
    <t>S/D/O : DHURIYA SHAHA, S/O DHURIYA SHAHA, VILL NAI ABADI MULLA KI PIAU DHANOLI, NR TOMAR KI TAAL KE PECHE, AGRA</t>
  </si>
  <si>
    <t>UP80DJ3167</t>
  </si>
  <si>
    <t>MD621BD15F1E41366</t>
  </si>
  <si>
    <t>OD1EF1362019</t>
  </si>
  <si>
    <t>TVS XL SUPER HD</t>
  </si>
  <si>
    <t>TVS/1196</t>
  </si>
  <si>
    <t>RD904968491IN</t>
  </si>
  <si>
    <t>AS3072TW0014674</t>
  </si>
  <si>
    <t>2018-02-19</t>
  </si>
  <si>
    <t>Mr.NILOVKOCH</t>
  </si>
  <si>
    <t>BIJOY KOCH</t>
  </si>
  <si>
    <t>S/D/O : BIJOY KOCH, BALIGAON, BASHBERA, NEAR NAMGHAR, SONITPUR</t>
  </si>
  <si>
    <t>MD626EG46J3A37983</t>
  </si>
  <si>
    <t>EG4AJ1779302</t>
  </si>
  <si>
    <t>TVS/1197</t>
  </si>
  <si>
    <t>RD904968505IN</t>
  </si>
  <si>
    <t>RJ3037TW0021124</t>
  </si>
  <si>
    <t>2018-08-13</t>
  </si>
  <si>
    <t>Mr.RANVEERPITHARAM</t>
  </si>
  <si>
    <t>PITHARAM</t>
  </si>
  <si>
    <t>S/D/O : PITHARAM, WARD NO. 01, NYOLAKHI 6 KKM, KESHRO JI MANDIR KE PASS, HANUMANGARH</t>
  </si>
  <si>
    <t>RJ49SD2967</t>
  </si>
  <si>
    <t>MD625PF51J1F41278</t>
  </si>
  <si>
    <t>NF5FJ1952198</t>
  </si>
  <si>
    <t>TVS/1198</t>
  </si>
  <si>
    <t>RD904968514IN</t>
  </si>
  <si>
    <t>AS3072TW0019901</t>
  </si>
  <si>
    <t>2018-07-16</t>
  </si>
  <si>
    <t>Mr.ANANTASAIKIA</t>
  </si>
  <si>
    <t>GUNADHAR SAIKIA</t>
  </si>
  <si>
    <t xml:space="preserve">S/D/O : GUNADHAR SAIKIA, RANGA CHAKUA, SONITPUR, NEAR RANGACHAKUA LP SCHOOL, </t>
  </si>
  <si>
    <t>AS12U8280</t>
  </si>
  <si>
    <t>MD634CE60J2E18205</t>
  </si>
  <si>
    <t>CE6EJ2X17818</t>
  </si>
  <si>
    <t>APACHE RTR 180 CC NEW</t>
  </si>
  <si>
    <t>TVS/1199</t>
  </si>
  <si>
    <t>RD904968528IN</t>
  </si>
  <si>
    <t>DL3045TW0031443</t>
  </si>
  <si>
    <t>2019-02-09</t>
  </si>
  <si>
    <t>Mr.KRISHAN MURARI</t>
  </si>
  <si>
    <t>NAVAL SINGH</t>
  </si>
  <si>
    <t xml:space="preserve">S/D/O : NAVAL SINGH, DU-291 WARD NO 21, EKTA NAGAR, PANCHAWATI CHOWK, </t>
  </si>
  <si>
    <t>Faridabad</t>
  </si>
  <si>
    <t>HR30U3394</t>
  </si>
  <si>
    <t>MD625PF59K3A65240</t>
  </si>
  <si>
    <t>NF5LJ10B9577</t>
  </si>
  <si>
    <t>TVS/1200</t>
  </si>
  <si>
    <t>RD904968531IN</t>
  </si>
  <si>
    <t>UP3035TW0016649</t>
  </si>
  <si>
    <t>Mr.BILALSHAMSI</t>
  </si>
  <si>
    <t>FURQAN SHAMSI</t>
  </si>
  <si>
    <t>S/D/O : FURQAN SHAMSI, S/O FURQAN SHAMSI, H NO 11/969/65 AALI AHANGRAAN SAHARANPUR, NEAR MASJID, SAHARANPUR</t>
  </si>
  <si>
    <t>Saharanpur</t>
  </si>
  <si>
    <t>UP11BF8423</t>
  </si>
  <si>
    <t>MD626EG44H3H61259</t>
  </si>
  <si>
    <t>EG4HH2420469</t>
  </si>
  <si>
    <t>TVS/1201</t>
  </si>
  <si>
    <t>RD904968545IN</t>
  </si>
  <si>
    <t>BR3058TW0169900</t>
  </si>
  <si>
    <t>Mrs.NEELAM DEVI</t>
  </si>
  <si>
    <t>PAPPU YADAV</t>
  </si>
  <si>
    <t>S/D/O : PAPPU YADAV, CHOUDHARIDIH, KHUTAHA, SHIV TEMPLE, BHAGALPUR</t>
  </si>
  <si>
    <t>BR10AF3575</t>
  </si>
  <si>
    <t>MD634AE89L2G23059</t>
  </si>
  <si>
    <t>AE8GL2122646</t>
  </si>
  <si>
    <t>TVS/1202</t>
  </si>
  <si>
    <t>RD904968559IN</t>
  </si>
  <si>
    <t>MP3010TW0076588</t>
  </si>
  <si>
    <t>2021-10-21</t>
  </si>
  <si>
    <t>Mr.REVASHANKARSHARMA</t>
  </si>
  <si>
    <t>REVASHAKAR SHARMA</t>
  </si>
  <si>
    <t>S/D/O : REVASHAKAR SHARMA, WARD NO 5 TEH HARDA PIDGAV HARDA, PIDGAV, NEAR TEMPLE, HARDA</t>
  </si>
  <si>
    <t>Hoshangabad</t>
  </si>
  <si>
    <t>MD625CK28M1L00243</t>
  </si>
  <si>
    <t>AK2LM1500154</t>
  </si>
  <si>
    <t>TVS/1203</t>
  </si>
  <si>
    <t>RD904968562IN</t>
  </si>
  <si>
    <t>UP3041TW0031105</t>
  </si>
  <si>
    <t>Mrs.HIRADEI RAN SINGH</t>
  </si>
  <si>
    <t>RAN SINGH</t>
  </si>
  <si>
    <t xml:space="preserve">S/D/O : RAN SINGH, VILL- SONIGA, POST- KAGAROL TEH KHERAGARG, TALAB KE PASS, </t>
  </si>
  <si>
    <t>UP80FF3018</t>
  </si>
  <si>
    <t>MD625PF50K3E02734</t>
  </si>
  <si>
    <t>NF5DK1909004</t>
  </si>
  <si>
    <t>TVS/1204</t>
  </si>
  <si>
    <t>RD904968576IN</t>
  </si>
  <si>
    <t>UP3041TW0028744</t>
  </si>
  <si>
    <t>2019-06-10</t>
  </si>
  <si>
    <t>Mr.KUMAR PAL</t>
  </si>
  <si>
    <t>RAJVIR</t>
  </si>
  <si>
    <t xml:space="preserve">S/D/O : RAJVIR, NARAUL, JAGNER ROAD, PRIMARY SCHOOL KE PASS, </t>
  </si>
  <si>
    <t>UP80FB3857</t>
  </si>
  <si>
    <t>MD625PF54K3B82028</t>
  </si>
  <si>
    <t>PF5BK1103109</t>
  </si>
  <si>
    <t>TVS/1205</t>
  </si>
  <si>
    <t>RD904968580IN</t>
  </si>
  <si>
    <t>UP3041TW0019404</t>
  </si>
  <si>
    <t>2017-10-24</t>
  </si>
  <si>
    <t>Mr.SURESHCHAND</t>
  </si>
  <si>
    <t>HAKIM SINGH</t>
  </si>
  <si>
    <t>S/D/O : HAKIM SINGH, S/O HAKIM SINGH, BADAYA, NEAR PRIMARY SCHOOL, RAIPURAJAT,FARAH,MATHURA</t>
  </si>
  <si>
    <t>UP85BC3053</t>
  </si>
  <si>
    <t>MD625PF5XH3G42320</t>
  </si>
  <si>
    <t>NF5GH1466635</t>
  </si>
  <si>
    <t>TVS/1206</t>
  </si>
  <si>
    <t>RD904968593IN</t>
  </si>
  <si>
    <t>UP3041TW0023898</t>
  </si>
  <si>
    <t>2018-09-21</t>
  </si>
  <si>
    <t>Mr.HARI OMSINGH</t>
  </si>
  <si>
    <t>SATYAEDEV</t>
  </si>
  <si>
    <t>S/D/O : SATYAEDEV, VILL 341 NAAGAR, BICHPURI, R G T SCHOOL, AGRA AGRA AGRA AGRA</t>
  </si>
  <si>
    <t>UP80EU3944</t>
  </si>
  <si>
    <t>MD625PF58J1H63963</t>
  </si>
  <si>
    <t>NF5HJ1681451</t>
  </si>
  <si>
    <t>TVS/1207</t>
  </si>
  <si>
    <t>RD904968602IN</t>
  </si>
  <si>
    <t>UP3041TW0026081</t>
  </si>
  <si>
    <t>2018-12-28</t>
  </si>
  <si>
    <t>Mr.BHANU PRATAP</t>
  </si>
  <si>
    <t>GOAPL SINGH</t>
  </si>
  <si>
    <t xml:space="preserve">S/D/O : GOAPL SINGH, 549,GADARPURA, POST SARENDA, NEAR TALAB, </t>
  </si>
  <si>
    <t>UP80EW8453</t>
  </si>
  <si>
    <t>MD625HF1XJ1LA5692</t>
  </si>
  <si>
    <t>KF1LJ10B0088</t>
  </si>
  <si>
    <t>TVS/1208</t>
  </si>
  <si>
    <t>RD904968616IN</t>
  </si>
  <si>
    <t>UP3052TW0042480</t>
  </si>
  <si>
    <t>Mrs.VINA DEVI</t>
  </si>
  <si>
    <t>CHAND</t>
  </si>
  <si>
    <t xml:space="preserve">S/D/O : CHAND, H NO 356 CHANDER LOK SABUN GODAM, MEERUT, LAL MANDIR, </t>
  </si>
  <si>
    <t>MD621DP1XJ2A46402</t>
  </si>
  <si>
    <t>DP1A2588539</t>
  </si>
  <si>
    <t>TVS/1209</t>
  </si>
  <si>
    <t>RD904968620IN</t>
  </si>
  <si>
    <t>UP3035TW0035745</t>
  </si>
  <si>
    <t>2020-01-23</t>
  </si>
  <si>
    <t>Mr.RAHUL KUMAR</t>
  </si>
  <si>
    <t>VED PRAKASH</t>
  </si>
  <si>
    <t xml:space="preserve">S/D/O : VED PRAKASH, H NO 63 VILL RAIPUR, KHASH URF KOTSARAY NANGAL, SCHOOL, </t>
  </si>
  <si>
    <t>UP20BQ5581</t>
  </si>
  <si>
    <t>MD625HF10K3F18261</t>
  </si>
  <si>
    <t>KF1EK1225267</t>
  </si>
  <si>
    <t>TVS/1210</t>
  </si>
  <si>
    <t>RD904968633IN</t>
  </si>
  <si>
    <t>UP3041TW0017868</t>
  </si>
  <si>
    <t>2017-07-12</t>
  </si>
  <si>
    <t>Mr.AJAYRAJVEER SINGH</t>
  </si>
  <si>
    <t>S/D/O : RAJVEER SINGH, S/O RAJVEER SINGH, BAIN KHERA JARUN KATRA AGRA, DEVI MA KA MANDIR, GWALIOR ROAD AGRA</t>
  </si>
  <si>
    <t>UP80EE1726</t>
  </si>
  <si>
    <t>MD625PF52H1F48685</t>
  </si>
  <si>
    <t>NF5FH1549898</t>
  </si>
  <si>
    <t>TVS/1211</t>
  </si>
  <si>
    <t>RD904968647IN</t>
  </si>
  <si>
    <t>MP3014UT0008953</t>
  </si>
  <si>
    <t>2021-10-31</t>
  </si>
  <si>
    <t xml:space="preserve">Mr.RAM KUMAR YADAV  </t>
  </si>
  <si>
    <t>KHUSAL</t>
  </si>
  <si>
    <t>S/D/O : KHUSAL, ..... KOHARVAS, JANGHAR ASHOK NAGAR, NEAR RAM MANDIR, TEHSIL ISAGARH</t>
  </si>
  <si>
    <t>Ashok Nagar</t>
  </si>
  <si>
    <t>MD634AE86L2F06474</t>
  </si>
  <si>
    <t>AE8FL2406899</t>
  </si>
  <si>
    <t>TVS/1212</t>
  </si>
  <si>
    <t>RD904968655IN</t>
  </si>
  <si>
    <t>UP3041TW0035438</t>
  </si>
  <si>
    <t>2020-10-17</t>
  </si>
  <si>
    <t>Mr.RAJPAL BHARAT LAL</t>
  </si>
  <si>
    <t>BHARAT LAL</t>
  </si>
  <si>
    <t xml:space="preserve">S/D/O : BHARAT LAL, NAGLA BANJARA SIRTHALA KAMAR MATHURA ,  , NEAR POKHAR, </t>
  </si>
  <si>
    <t>MD621BP21L3K10278</t>
  </si>
  <si>
    <t>BP2HL2019176</t>
  </si>
  <si>
    <t>TVS/1213</t>
  </si>
  <si>
    <t>RD904968664IN</t>
  </si>
  <si>
    <t>RJ3016TW0042044</t>
  </si>
  <si>
    <t>2020-01-20</t>
  </si>
  <si>
    <t>Mr.DEVRAM SUGAN LAL</t>
  </si>
  <si>
    <t>SUGAN LAL</t>
  </si>
  <si>
    <t xml:space="preserve">S/D/O : SUGAN LAL, SUBHASH NAGAR, MADARAYAL ROAD WARD NO. 8, BHAWAR VILAS KE PASS KARAULI, </t>
  </si>
  <si>
    <t>Karauli</t>
  </si>
  <si>
    <t>RJ34SQ3148</t>
  </si>
  <si>
    <t>MD634CE48K2L04403</t>
  </si>
  <si>
    <t>CE4LK2604357</t>
  </si>
  <si>
    <t>TVS/1214</t>
  </si>
  <si>
    <t>RD904968678IN</t>
  </si>
  <si>
    <t>UP3041TW0022503</t>
  </si>
  <si>
    <t>2018-04-30</t>
  </si>
  <si>
    <t>Mr.DANVEERGILLORI</t>
  </si>
  <si>
    <t>GILLORI</t>
  </si>
  <si>
    <t xml:space="preserve">S/D/O : GILLORI, S/O GILLORI, VIIL VIRJA PUR ADAULI MATHURA, NEAR MAURYA HOSPITAL, </t>
  </si>
  <si>
    <t>UP85BE7549</t>
  </si>
  <si>
    <t>MD634CE67J2D16079</t>
  </si>
  <si>
    <t>CE6DJ2409805</t>
  </si>
  <si>
    <t>TVS/1215</t>
  </si>
  <si>
    <t>RD904968681IN</t>
  </si>
  <si>
    <t>DL3045TW0026548</t>
  </si>
  <si>
    <t>2018-10-12</t>
  </si>
  <si>
    <t>Mr.GOURAV VERMA</t>
  </si>
  <si>
    <t>VINOD KUMAR SONI</t>
  </si>
  <si>
    <t xml:space="preserve">S/D/O : VINOD KUMAR SONI, D-533/789,GALI NO- 1,NAND NAGRI,NAND NAGRI,NORTH E, , RAILWAY FATAK, </t>
  </si>
  <si>
    <t>East Delhi</t>
  </si>
  <si>
    <t>DL5SBT7004</t>
  </si>
  <si>
    <t>MD625GF19J1H55531</t>
  </si>
  <si>
    <t>LF1HJ1232522</t>
  </si>
  <si>
    <t>TVS/1216</t>
  </si>
  <si>
    <t>RD904968695IN</t>
  </si>
  <si>
    <t>UP3052TW0038219</t>
  </si>
  <si>
    <t>Mr.INAM ASHARAF</t>
  </si>
  <si>
    <t>ASHARAF</t>
  </si>
  <si>
    <t xml:space="preserve">S/D/O : ASHARAF, NAI BASTI KANDHLA, MUZAFFARNAGAR, BIJLE GHAR, </t>
  </si>
  <si>
    <t>UP19J4641</t>
  </si>
  <si>
    <t>MD634DE6XK2E00804</t>
  </si>
  <si>
    <t>DE6EK2700582</t>
  </si>
  <si>
    <t>TVS/1217</t>
  </si>
  <si>
    <t>RD904968704IN</t>
  </si>
  <si>
    <t>UP3052TW0045909</t>
  </si>
  <si>
    <t>2020-03-18</t>
  </si>
  <si>
    <t>Mr.ASHISH KUMAR</t>
  </si>
  <si>
    <t>GANPAT SINGH</t>
  </si>
  <si>
    <t xml:space="preserve">S/D/O : GANPAT SINGH, RAM BILAUNI DOUGWAN ,  , NEAR SHIV MANDIR, </t>
  </si>
  <si>
    <t>UP13BN6721</t>
  </si>
  <si>
    <t>MD625PF5XL3A82727</t>
  </si>
  <si>
    <t>NF5NK1302276</t>
  </si>
  <si>
    <t>TVS/1218</t>
  </si>
  <si>
    <t>RD904968718IN</t>
  </si>
  <si>
    <t>UP3065TW0041709</t>
  </si>
  <si>
    <t>2020-09-23</t>
  </si>
  <si>
    <t>Mr.RAJENDRA LAL BAHADUR</t>
  </si>
  <si>
    <t>LAL BAHADUR</t>
  </si>
  <si>
    <t xml:space="preserve">S/D/O : LAL BAHADUR, PARABASOOPUR SULTANAPUR ,  , PRIMARY SCHOOL, </t>
  </si>
  <si>
    <t>Sultanpur</t>
  </si>
  <si>
    <t>UP44BC4186</t>
  </si>
  <si>
    <t>MD625BK23L3C02382</t>
  </si>
  <si>
    <t>BK2CL3402112</t>
  </si>
  <si>
    <t>TVS/1219</t>
  </si>
  <si>
    <t>RD904968721IN</t>
  </si>
  <si>
    <t>MP3011TW0064551</t>
  </si>
  <si>
    <t>2020-03-04</t>
  </si>
  <si>
    <t>Mr.RAJESH KACHARULAL</t>
  </si>
  <si>
    <t>KACHARULAL</t>
  </si>
  <si>
    <t>S/D/O : KACHARULAL, H NO 51 WORD 11, KHATIK MOHALLA GAROTH, KHATIK MOHALLA, TH GAROTH</t>
  </si>
  <si>
    <t>Mandsaur</t>
  </si>
  <si>
    <t>MD621JP17K1N06831</t>
  </si>
  <si>
    <t>CPNK1938474</t>
  </si>
  <si>
    <t>TVS/1220</t>
  </si>
  <si>
    <t>RD904968735IN</t>
  </si>
  <si>
    <t>UP3033TW0021352</t>
  </si>
  <si>
    <t>Mr.SARFRAJIBNE SHAHAD</t>
  </si>
  <si>
    <t>IBNE SHAHAD</t>
  </si>
  <si>
    <t>S/D/O : IBNE SHAHAD, S/O IBNE SHAHAD, MEERPUR, NEAR BY MASHJID, JAJAULA</t>
  </si>
  <si>
    <t>Jyotiba Phule Nagar</t>
  </si>
  <si>
    <t>UP23X6302</t>
  </si>
  <si>
    <t>MD634BE48H2N17550</t>
  </si>
  <si>
    <t>BE4NH2716531</t>
  </si>
  <si>
    <t>TVS/1221</t>
  </si>
  <si>
    <t>RD904968749IN</t>
  </si>
  <si>
    <t>UP3033TW0034310</t>
  </si>
  <si>
    <t>Mr.KIRAT PRASAD</t>
  </si>
  <si>
    <t>KEDAR NATH</t>
  </si>
  <si>
    <t xml:space="preserve">S/D/O : KEDAR NATH, VILL ILAHABAS DEVAL, POST DIYORIA KALAN, MANDIR, </t>
  </si>
  <si>
    <t>UP26AE3161</t>
  </si>
  <si>
    <t>MD625PF51K3F11302</t>
  </si>
  <si>
    <t>NF5EK1707319</t>
  </si>
  <si>
    <t>TVS/1222</t>
  </si>
  <si>
    <t>RD904968752IN</t>
  </si>
  <si>
    <t>RJ3037TW0032875</t>
  </si>
  <si>
    <t>2020-01-17</t>
  </si>
  <si>
    <t>Mr.GURAPYAR SINGH</t>
  </si>
  <si>
    <t>TEK SINGH</t>
  </si>
  <si>
    <t xml:space="preserve">S/D/O : TEK SINGH, 7 K, DHANIYAN DHANKA WALI DHANI , HANUMANGARH ,  , SHAMSHAN BHOOMI K PASS, </t>
  </si>
  <si>
    <t>RJ31SR5263</t>
  </si>
  <si>
    <t>MD625PF52K1N00382</t>
  </si>
  <si>
    <t>NF5NK1700286</t>
  </si>
  <si>
    <t>TVS/1223</t>
  </si>
  <si>
    <t>RD904968766IN</t>
  </si>
  <si>
    <t>UP3035TW0019604</t>
  </si>
  <si>
    <t>2018-04-03</t>
  </si>
  <si>
    <t>Mr.ANILKUMAR</t>
  </si>
  <si>
    <t>RAFAL SINGH</t>
  </si>
  <si>
    <t>S/D/O : RAFAL SINGH, S/O RAFAL SINGH, H.NO. 3/3954 PAPER MILL ROAD BRAHAMPURI, SANJAG BANQUET HALL, SAHARANPUR</t>
  </si>
  <si>
    <t>UP11BJ6798</t>
  </si>
  <si>
    <t>MD625PF58J3B01157</t>
  </si>
  <si>
    <t>NF5AJ1127345</t>
  </si>
  <si>
    <t>TVS/1224</t>
  </si>
  <si>
    <t>RD904968770IN</t>
  </si>
  <si>
    <t>UP3041TW0012366</t>
  </si>
  <si>
    <t>2016-07-06</t>
  </si>
  <si>
    <t>Mr.ASHOKSHARMA</t>
  </si>
  <si>
    <t>JYOTI PRASAD SHARMA</t>
  </si>
  <si>
    <t>S/D/O : JYOTI PRASAD SHARMA, S/O JYOTI PRASAD SHARMA, VILL NAI ABADI KALYANI HOSPITAL KE PASS, NR KATYANI HOSPITAL AND VIVEKA NAND SCHO, SWAROOP NAGAR AGRA</t>
  </si>
  <si>
    <t>UP80DU2534</t>
  </si>
  <si>
    <t>MD625MF57G3B99380</t>
  </si>
  <si>
    <t>CF5AG1226094</t>
  </si>
  <si>
    <t>TVS/1225</t>
  </si>
  <si>
    <t>RD904968783IN</t>
  </si>
  <si>
    <t>UP3064TW0023973</t>
  </si>
  <si>
    <t>2018-08-24</t>
  </si>
  <si>
    <t>Mr.SHYAMSUNDRA</t>
  </si>
  <si>
    <t>VIPIN RAM</t>
  </si>
  <si>
    <t>S/D/O : VIPIN RAM, LAKSHMA GARHI, KHAIR, SAIYAD BABA GARHI, ALIGARH</t>
  </si>
  <si>
    <t>UP81BZ7223</t>
  </si>
  <si>
    <t>MD621DP14J3A21277</t>
  </si>
  <si>
    <t>DP1AJ2783041</t>
  </si>
  <si>
    <t>TVS/1226</t>
  </si>
  <si>
    <t>RD904968797IN</t>
  </si>
  <si>
    <t>UP3064TW0027976</t>
  </si>
  <si>
    <t>2019-02-27</t>
  </si>
  <si>
    <t>Mr.KAMAL SINGH</t>
  </si>
  <si>
    <t>NATHHU SINGH</t>
  </si>
  <si>
    <t xml:space="preserve">S/D/O : NATHHU SINGH, VILL FARIYAN, PILAKHNA, HANDPUMP, </t>
  </si>
  <si>
    <t>UP81CD5924</t>
  </si>
  <si>
    <t>MD621EP12K3A56892</t>
  </si>
  <si>
    <t>CP1AK2002421</t>
  </si>
  <si>
    <t>TVS/1227</t>
  </si>
  <si>
    <t>RD904968806IN</t>
  </si>
  <si>
    <t>RJ3036TW0033461</t>
  </si>
  <si>
    <t>2022-05-06</t>
  </si>
  <si>
    <t>2019-03-02</t>
  </si>
  <si>
    <t>Mr.RAMESHCHAND MEGHWAL</t>
  </si>
  <si>
    <t>GHISA LAL</t>
  </si>
  <si>
    <t xml:space="preserve">S/D/O : GHISA LAL, NAI BASTI CHACHHALAW, CHACHHLAO JHALAWAL, NEAR  RQMDEV JI TEMPLE, </t>
  </si>
  <si>
    <t>Jhalawar</t>
  </si>
  <si>
    <t>RJ17SU9429</t>
  </si>
  <si>
    <t>MD625HF12K1B03244</t>
  </si>
  <si>
    <t>KF1BK1003339</t>
  </si>
  <si>
    <t>TVS/1228</t>
  </si>
  <si>
    <t>RD904968810IN</t>
  </si>
  <si>
    <t>UP3064TW0034965</t>
  </si>
  <si>
    <t>2020-08-20</t>
  </si>
  <si>
    <t>Mr.KARAN RAKESH</t>
  </si>
  <si>
    <t>RAKESH</t>
  </si>
  <si>
    <t xml:space="preserve">S/D/O : RAKESH, NAGLA SHISHGAR, SIKANDRA RAO HATHRAS, NEAR POWER STATION, </t>
  </si>
  <si>
    <t>UP86AD5012</t>
  </si>
  <si>
    <t>MD621BP20L3C06085</t>
  </si>
  <si>
    <t>BP2BL2044645</t>
  </si>
  <si>
    <t>TVS/1229</t>
  </si>
  <si>
    <t>RD904968823IN</t>
  </si>
  <si>
    <t>AS3072TW0018680</t>
  </si>
  <si>
    <t>2018-06-07</t>
  </si>
  <si>
    <t>Mrs.BARNALIDAS</t>
  </si>
  <si>
    <t>SANTANU KR DAS</t>
  </si>
  <si>
    <t>S/D/O : SANTANU KR DAS, GHARPARA CHUBURI, TEZPUR, NEAR SCHOOL, SONITPUR</t>
  </si>
  <si>
    <t>AS12U5262</t>
  </si>
  <si>
    <t>MD626EG40J3E47985</t>
  </si>
  <si>
    <t>EG4DJ1318394</t>
  </si>
  <si>
    <t>TVS/1230</t>
  </si>
  <si>
    <t>RD904968837IN</t>
  </si>
  <si>
    <t>UP3041UT0000784</t>
  </si>
  <si>
    <t>2018-03-22</t>
  </si>
  <si>
    <t>Mr.ARUNSINGH</t>
  </si>
  <si>
    <t>MUNNA LAL</t>
  </si>
  <si>
    <t>S/D/O : MUNNA LAL, S/O MUNNA LAL, 214 KATHWARI POST KATHWARI, NR JUNIOR HIGH SCHOOL, PS ACHANERA AGRA</t>
  </si>
  <si>
    <t>UP80DS9568</t>
  </si>
  <si>
    <t>MD634KE43G2B76768</t>
  </si>
  <si>
    <t>OE4BG2923998</t>
  </si>
  <si>
    <t>TVS/1231</t>
  </si>
  <si>
    <t>RD904968845IN</t>
  </si>
  <si>
    <t>UP3052TW0034278</t>
  </si>
  <si>
    <t>2019-03-07</t>
  </si>
  <si>
    <t>Mr.RAMKISHOR VIJAY PAL SINGH</t>
  </si>
  <si>
    <t>VIJAY PAL SINGH</t>
  </si>
  <si>
    <t xml:space="preserve">S/D/O : VIJAY PAL SINGH, HOUSE NO 62 GRAMIN KSHETR NAYA GAON, BULANDSHAHR, DEVI MANDIR, </t>
  </si>
  <si>
    <t>UP13BF6010</t>
  </si>
  <si>
    <t>MD625PF59K3A67490</t>
  </si>
  <si>
    <t>PF5PJ1X00634</t>
  </si>
  <si>
    <t>TVS/1232</t>
  </si>
  <si>
    <t>RD904968854IN</t>
  </si>
  <si>
    <t>UP3041TW0035872</t>
  </si>
  <si>
    <t>2020-11-17</t>
  </si>
  <si>
    <t>Mr.MUKESH GUPAL SINGH</t>
  </si>
  <si>
    <t>GUPAL SINGH</t>
  </si>
  <si>
    <t>S/D/O : GUPAL SINGH, BHAHAI, BARARI, SHIV MANDIR, MATHURA</t>
  </si>
  <si>
    <t>UP85BV1885</t>
  </si>
  <si>
    <t>MD625BK28L3K06179</t>
  </si>
  <si>
    <t>BK2KL3005754</t>
  </si>
  <si>
    <t>TVS/1233</t>
  </si>
  <si>
    <t>RD904968868IN</t>
  </si>
  <si>
    <t>CG3015TW0049095</t>
  </si>
  <si>
    <t>Mr.PRAMOD KUMARVISHWKARMA</t>
  </si>
  <si>
    <t>DHIRJAN RAM</t>
  </si>
  <si>
    <t>S/D/O : DHIRJAN RAM, WARD NO.10 MUHALLA SARAITOLI, VILL BENE CHATAKPUR POST BASANTALA, GOVT SCHOOL, DIST JASPUR BASANTALA</t>
  </si>
  <si>
    <t>Jashpur</t>
  </si>
  <si>
    <t>CG04NN6461</t>
  </si>
  <si>
    <t>MD625CK2XM1D02000</t>
  </si>
  <si>
    <t>DK2DM1900070</t>
  </si>
  <si>
    <t>TVS/1234</t>
  </si>
  <si>
    <t>RD904968871IN</t>
  </si>
  <si>
    <t>UP3041TW0030615</t>
  </si>
  <si>
    <t>2019-10-11</t>
  </si>
  <si>
    <t>Mr.PAPPU CHHOTE LAL</t>
  </si>
  <si>
    <t>CHHOTE LAL</t>
  </si>
  <si>
    <t xml:space="preserve">S/D/O : CHHOTE LAL, HOUSE NO 154,NAGLA LEKHRAJ ,DHANAULI AGRA,AGRA , , BHOLE BABA KA MANDIR, </t>
  </si>
  <si>
    <t>UP80FE3231</t>
  </si>
  <si>
    <t>MD621HP16K3D33612</t>
  </si>
  <si>
    <t>CP1DK2708091</t>
  </si>
  <si>
    <t>TVS/1235</t>
  </si>
  <si>
    <t>RD904968885IN</t>
  </si>
  <si>
    <t>UP3064TW0029506</t>
  </si>
  <si>
    <t>2019-05-31</t>
  </si>
  <si>
    <t>Mr.PAPPU SINGH</t>
  </si>
  <si>
    <t>PANNALAL</t>
  </si>
  <si>
    <t xml:space="preserve">S/D/O : PANNALAL, GOAN SIKANDARPUR, BHUKARAWALI MEHRAWAL, PANNALAL KUMHAR MOHALLA, </t>
  </si>
  <si>
    <t>UP81CE9424</t>
  </si>
  <si>
    <t>MD621JP15K2C01177</t>
  </si>
  <si>
    <t>DP1CK2902682</t>
  </si>
  <si>
    <t>TVS/1236</t>
  </si>
  <si>
    <t>RD904968899IN</t>
  </si>
  <si>
    <t>UP3060TW0005295</t>
  </si>
  <si>
    <t>2019-10-03</t>
  </si>
  <si>
    <t>Mr.BALKISHN VISHVAKARMA</t>
  </si>
  <si>
    <t>JAGANNATH VISHVAKARMA</t>
  </si>
  <si>
    <t xml:space="preserve">S/D/O : JAGANNATH VISHVAKARMA, H NO 52 BIJAULI 3 THANA BABINA, PREM NAGAR, BIJAULI TIGELA, </t>
  </si>
  <si>
    <t>Jhansi</t>
  </si>
  <si>
    <t>MD625PF56K3D96616</t>
  </si>
  <si>
    <t>NF5DK1X03712</t>
  </si>
  <si>
    <t>TVS/1237</t>
  </si>
  <si>
    <t>RD904968908IN</t>
  </si>
  <si>
    <t>UP3064TW0029747</t>
  </si>
  <si>
    <t>Mr.PARAVEEN BALVANT SINGH</t>
  </si>
  <si>
    <t>BALVANT SINGH</t>
  </si>
  <si>
    <t xml:space="preserve">S/D/O : BALVANT SINGH, GAON SEESAI DINAPUR, ALIGARH, NEAR PRAMERI SCHOOL, </t>
  </si>
  <si>
    <t>UP81CF6432</t>
  </si>
  <si>
    <t>MD625PF59K3D98036</t>
  </si>
  <si>
    <t>NF5DK1004689</t>
  </si>
  <si>
    <t>TVS/1238</t>
  </si>
  <si>
    <t>RD904968911IN</t>
  </si>
  <si>
    <t>MP3011UT0008089</t>
  </si>
  <si>
    <t>2020-08-08</t>
  </si>
  <si>
    <t>Mr.SHYAM SUNDER SHARMA</t>
  </si>
  <si>
    <t>NATHULAL</t>
  </si>
  <si>
    <t xml:space="preserve">S/D/O : NATHULAL, 40/A VANDANA NAGAR TILAK NAGAR, NEAR GANESH MANDIR, GANESH MANDIR, </t>
  </si>
  <si>
    <t>Indore</t>
  </si>
  <si>
    <t>MP09VC3199</t>
  </si>
  <si>
    <t>MD634BE4XH2G04241</t>
  </si>
  <si>
    <t>BE4GH2118428</t>
  </si>
  <si>
    <t>TVS/1239</t>
  </si>
  <si>
    <t>RD904968925IN</t>
  </si>
  <si>
    <t>BR3058TW0145853</t>
  </si>
  <si>
    <t>2019-12-14</t>
  </si>
  <si>
    <t>Mr.CHANDAN KUMAR</t>
  </si>
  <si>
    <t>BIRENDRA KUMAR</t>
  </si>
  <si>
    <t xml:space="preserve">S/D/O : BIRENDRA KUMAR, EKLAVYA MISSION ACADEMY, WARD NO-04,HARPUR, KHAGARIA, SHIV MANDIR, </t>
  </si>
  <si>
    <t>Khagaria</t>
  </si>
  <si>
    <t>BR34N7410</t>
  </si>
  <si>
    <t>MD634CE47K2K10397</t>
  </si>
  <si>
    <t>CE4KK2110365</t>
  </si>
  <si>
    <t>TVS/1240</t>
  </si>
  <si>
    <t>RD904968939IN</t>
  </si>
  <si>
    <t>MP3011TW0016277</t>
  </si>
  <si>
    <t>2015-10-25</t>
  </si>
  <si>
    <t>Mr.MAHESHGIRIGOSWAMI</t>
  </si>
  <si>
    <t>GOKUL GIRI</t>
  </si>
  <si>
    <t xml:space="preserve">S/D/O : GOKUL GIRI, KATKAT PURA THANE KE PICHE INDORE, , NR ROAD, </t>
  </si>
  <si>
    <t>MP09QQ4807</t>
  </si>
  <si>
    <t>MD625CF12F1H20278</t>
  </si>
  <si>
    <t>CF1HF1339531</t>
  </si>
  <si>
    <t>TVS/1241</t>
  </si>
  <si>
    <t>RD904968942IN</t>
  </si>
  <si>
    <t>UP3064TW0024926</t>
  </si>
  <si>
    <t>Mr.DEEPENDRA</t>
  </si>
  <si>
    <t>RAGHUNATH</t>
  </si>
  <si>
    <t xml:space="preserve">S/D/O : RAGHUNATH, SYARAUL, TAPPAL, DEVI MANDIR, </t>
  </si>
  <si>
    <t>UP81CC3359</t>
  </si>
  <si>
    <t>MD625PF52J1LA2895</t>
  </si>
  <si>
    <t>NF5LJ11B0973</t>
  </si>
  <si>
    <t>TVS/1242</t>
  </si>
  <si>
    <t>RD904968956IN</t>
  </si>
  <si>
    <t>DL3049TW0020411</t>
  </si>
  <si>
    <t>2020-08-17</t>
  </si>
  <si>
    <t>Mr.ASHISH PAUL</t>
  </si>
  <si>
    <t>RAJENDAR PAUL</t>
  </si>
  <si>
    <t xml:space="preserve">S/D/O : RAJENDAR PAUL, H NO, 309 DAULAT PURA, GHAZIABAD, SHARMA  MEDICAL STOR, </t>
  </si>
  <si>
    <t>UP14EM1529</t>
  </si>
  <si>
    <t>MD625CK21L3G04407</t>
  </si>
  <si>
    <t>DK2GL1904894</t>
  </si>
  <si>
    <t>TVS/1243</t>
  </si>
  <si>
    <t>RD904968960IN</t>
  </si>
  <si>
    <t>UP3038TW0059655</t>
  </si>
  <si>
    <t>2019-10-30</t>
  </si>
  <si>
    <t>Mr.SUSHIL KUMAR SINGH</t>
  </si>
  <si>
    <t>RAJESHVAR</t>
  </si>
  <si>
    <t xml:space="preserve">S/D/O : RAJESHVAR, HOUSE NO 61RANAPUR TAHSIL MADIAHU JAUNPUR, SAMEAS, PRIMARY SCHOOL, </t>
  </si>
  <si>
    <t>MD625PF55K3A12437</t>
  </si>
  <si>
    <t>PF5AK1101389</t>
  </si>
  <si>
    <t>TVS/1244</t>
  </si>
  <si>
    <t>RD904968973IN</t>
  </si>
  <si>
    <t>BR3058TW0126179</t>
  </si>
  <si>
    <t>2019-08-21</t>
  </si>
  <si>
    <t>Mr.MD MERAJ</t>
  </si>
  <si>
    <t>MD SAMASUL</t>
  </si>
  <si>
    <t xml:space="preserve">S/D/O : MD SAMASUL, AT-WARD NO 09,VILL-LAHALADPUR,P.O-TETARIA, P.S-MADHUBAN, MASJID, </t>
  </si>
  <si>
    <t>East Champaran</t>
  </si>
  <si>
    <t>BR06CC6345</t>
  </si>
  <si>
    <t>MD634CE44K2F19683</t>
  </si>
  <si>
    <t>CE4FK2419343</t>
  </si>
  <si>
    <t>TVS/1245</t>
  </si>
  <si>
    <t>RD904968987IN</t>
  </si>
  <si>
    <t>MP3011TW0018321</t>
  </si>
  <si>
    <t>2015-11-29</t>
  </si>
  <si>
    <t>Mr.GANGARAMBANJARA</t>
  </si>
  <si>
    <t xml:space="preserve">S/D/O : NATHU LAL, 55 SEMAL GOTHADA JAWAD, NEEMUCH, NR ROAD, </t>
  </si>
  <si>
    <t>MP44ML7451</t>
  </si>
  <si>
    <t>MD625CF10F1H25821</t>
  </si>
  <si>
    <t>CF1HF1345717</t>
  </si>
  <si>
    <t>TVS/1246</t>
  </si>
  <si>
    <t>RD904968995IN</t>
  </si>
  <si>
    <t>UP3041TW0034775</t>
  </si>
  <si>
    <t>2020-08-18</t>
  </si>
  <si>
    <t>Mr.ZESHAN KESHAR</t>
  </si>
  <si>
    <t>JAVED</t>
  </si>
  <si>
    <t>S/D/O : JAVED, DALPAT, KHIDKI KOTWALI ROAD, NERA MAJDIK, MATHURA</t>
  </si>
  <si>
    <t>MD626CG53L3A24950</t>
  </si>
  <si>
    <t>CG5AL3720149</t>
  </si>
  <si>
    <t>TVS/1247</t>
  </si>
  <si>
    <t>RD904969007IN</t>
  </si>
  <si>
    <t>UP3041TW0028876</t>
  </si>
  <si>
    <t>GOPI MAL</t>
  </si>
  <si>
    <t xml:space="preserve">S/D/O : GOPI MAL, VILL - NAGLA BHAT, BHADANA, NEAR GOVT HANDPUMP, </t>
  </si>
  <si>
    <t>MD621HP18K2E01740</t>
  </si>
  <si>
    <t>DP1EK2X01402</t>
  </si>
  <si>
    <t>TVS/1248</t>
  </si>
  <si>
    <t>RD904969015IN</t>
  </si>
  <si>
    <t>DL3045UT0000828</t>
  </si>
  <si>
    <t>2018-11-22</t>
  </si>
  <si>
    <t>Mr.RAKESHKUMARPANDEY</t>
  </si>
  <si>
    <t>JITENDRA PANDEY</t>
  </si>
  <si>
    <t>S/D/O : JITENDRA PANDEY, H NO B 15 2ND FLOOR GALI NO 6, BLK B RAGHUNATHPURI, VISHAL INTERNATIONAL SCHOOL, GHAZIABAD</t>
  </si>
  <si>
    <t>DL7SCC7817</t>
  </si>
  <si>
    <t>MD626EG48H1B09174</t>
  </si>
  <si>
    <t>EG4BH1110972</t>
  </si>
  <si>
    <t>TVS/1249</t>
  </si>
  <si>
    <t>RD904969024IN</t>
  </si>
  <si>
    <t>UP3041TW0028547</t>
  </si>
  <si>
    <t>2019-05-28</t>
  </si>
  <si>
    <t>Mr.MUNNA RAMDYAL</t>
  </si>
  <si>
    <t>RAMDYAL</t>
  </si>
  <si>
    <t xml:space="preserve">S/D/O : RAMDYAL, 174/2,VILLAGE-NAGLA PRATAP SIRAULI ,BAMRAULI AHIR , , PANI KI TANKI, </t>
  </si>
  <si>
    <t>UP80FB5119</t>
  </si>
  <si>
    <t>MD621JP18K2C01917</t>
  </si>
  <si>
    <t>DP1CK2804546</t>
  </si>
  <si>
    <t>TVS/1250</t>
  </si>
  <si>
    <t>RD904969038IN</t>
  </si>
  <si>
    <t>RJ3016TW0039157</t>
  </si>
  <si>
    <t>2019-09-25</t>
  </si>
  <si>
    <t>Mr.MANISH KUMAR</t>
  </si>
  <si>
    <t>MAHESH KUMAR BARASARA</t>
  </si>
  <si>
    <t xml:space="preserve">S/D/O : MAHESH KUMAR BARASARA, BARSARA KI DHANI, CHANANA, CHIRAWA, GOVT SCHOOL KA PASS, </t>
  </si>
  <si>
    <t>RJ18ES8256</t>
  </si>
  <si>
    <t>MD637CE79K2H03115</t>
  </si>
  <si>
    <t>CE7HK2302766</t>
  </si>
  <si>
    <t>TVS/1251</t>
  </si>
  <si>
    <t>RD904969041IN</t>
  </si>
  <si>
    <t>MP3012TW0086862</t>
  </si>
  <si>
    <t>2020-03-17</t>
  </si>
  <si>
    <t>Mr.MANSHARAM SAMARAT</t>
  </si>
  <si>
    <t>SAMARAT</t>
  </si>
  <si>
    <t>S/D/O : SAMARAT, HOUSE NUMBER 80 AT HATTA 1, POST HATTA HATTA, MANDIR KE PASS, BALAGHAT</t>
  </si>
  <si>
    <t>MD621JP10L1AR4997</t>
  </si>
  <si>
    <t>CP1AL18N5693</t>
  </si>
  <si>
    <t>TVS/1252</t>
  </si>
  <si>
    <t>RD904969055IN</t>
  </si>
  <si>
    <t>MP3014UT0005592</t>
  </si>
  <si>
    <t>Mr.PRABHAKAR  MEHRA</t>
  </si>
  <si>
    <t xml:space="preserve">S/D/O : RAM SINGH, H NO 60 GI HATOUDA, HATOUDA SILWANI, PRIMARY SCHOOL GOVT HEAD PUMP, </t>
  </si>
  <si>
    <t>MP38MH4256</t>
  </si>
  <si>
    <t>MD625CF19F1F83534</t>
  </si>
  <si>
    <t>CF1FF1289658</t>
  </si>
  <si>
    <t>TVS/1253</t>
  </si>
  <si>
    <t>RD904969069IN</t>
  </si>
  <si>
    <t>UP3060TW0007319</t>
  </si>
  <si>
    <t>2020-07-30</t>
  </si>
  <si>
    <t>Mr.ASHOK GURDAS</t>
  </si>
  <si>
    <t>GURDAS</t>
  </si>
  <si>
    <t>S/D/O : GURDAS, 8A1 RAILWAY AWAS, SIPRI BAZAR, 5 NO PANI KE TANKI KE PASS, JHANSI</t>
  </si>
  <si>
    <t>UP93BM4520</t>
  </si>
  <si>
    <t>MD625CK27L3F00911</t>
  </si>
  <si>
    <t>DK2CL1103469</t>
  </si>
  <si>
    <t>TVS/1254</t>
  </si>
  <si>
    <t>RD904969072IN</t>
  </si>
  <si>
    <t>RJ3016TW0041613</t>
  </si>
  <si>
    <t>2019-12-10</t>
  </si>
  <si>
    <t>Mr.SURESH MEENA</t>
  </si>
  <si>
    <t>SITA RAM MEENA</t>
  </si>
  <si>
    <t xml:space="preserve">S/D/O : SITA RAM MEENA, FUTI KHEL, DIVANJI KA BAG, NEAR HANUMAN BAGICHI, </t>
  </si>
  <si>
    <t>MD634DE6XK2G00291</t>
  </si>
  <si>
    <t>DE6GK2900279</t>
  </si>
  <si>
    <t>TVS/1255</t>
  </si>
  <si>
    <t>RD904969086IN</t>
  </si>
  <si>
    <t>UP3064TW0025836</t>
  </si>
  <si>
    <t>Mr.GOPALSINGH</t>
  </si>
  <si>
    <t>JAVAHAR SINGH</t>
  </si>
  <si>
    <t xml:space="preserve">S/D/O : JAVAHAR SINGH, ADALPUR SADABAD HATHRAJ, HATHRAJ HATHRAJ, SCHOOL, </t>
  </si>
  <si>
    <t>UP86Z4237</t>
  </si>
  <si>
    <t>MD625PF5XJ3N94899</t>
  </si>
  <si>
    <t>NF5LJ16C2078</t>
  </si>
  <si>
    <t>TVS/1256</t>
  </si>
  <si>
    <t>RD904969090IN</t>
  </si>
  <si>
    <t>MP3012TW0098221</t>
  </si>
  <si>
    <t>2021-07-15</t>
  </si>
  <si>
    <t>Mr.VISWANATHSINGH</t>
  </si>
  <si>
    <t>PATIRAJ SINGH</t>
  </si>
  <si>
    <t>S/D/O : PATIRAJ SINGH, VILLAGE JHOKHO, POST KARTHUA, AIRTEL TAWER, TEH CHITRANGI</t>
  </si>
  <si>
    <t>MP53ML0780</t>
  </si>
  <si>
    <t>MD625CK22M3D00925</t>
  </si>
  <si>
    <t>DK2DM3200441</t>
  </si>
  <si>
    <t>TVS/1257</t>
  </si>
  <si>
    <t>RD904969109IN</t>
  </si>
  <si>
    <t>UP3041TW06581</t>
  </si>
  <si>
    <t>2014-12-30</t>
  </si>
  <si>
    <t>Mr.MANOJRADHCHARAN</t>
  </si>
  <si>
    <t>RADHCHARAN</t>
  </si>
  <si>
    <t xml:space="preserve">S/D/O : RADHCHARAN, S/O RADHCHARAN, KUSUM VIHAR, JAMAUNA PAR MATHURA, NR. MKS SCHOOL, </t>
  </si>
  <si>
    <t>UP85AQ8410</t>
  </si>
  <si>
    <t>MD621BD18E3N16366</t>
  </si>
  <si>
    <t>OD1NE1962990</t>
  </si>
  <si>
    <t>TVS/1258</t>
  </si>
  <si>
    <t>RD904969112IN</t>
  </si>
  <si>
    <t>RJ3037TW01313</t>
  </si>
  <si>
    <t>2011-12-17</t>
  </si>
  <si>
    <t>Mr.PYARELAL</t>
  </si>
  <si>
    <t>KHAISHATI LAL</t>
  </si>
  <si>
    <t>S/D/O : KHAISHATI LAL, PLOT NO 139 A, GALI NO 6, GALI NO 6, SHAKTI NAGAR</t>
  </si>
  <si>
    <t>RJ19SZ5086</t>
  </si>
  <si>
    <t>MD625MF58B3L85953</t>
  </si>
  <si>
    <t>DF5LB1082727</t>
  </si>
  <si>
    <t>TVS/1259</t>
  </si>
  <si>
    <t>RD904969126IN</t>
  </si>
  <si>
    <t>UP3041TW0028102</t>
  </si>
  <si>
    <t>Mr.SHIV SINGH</t>
  </si>
  <si>
    <t>RAMGOPAL</t>
  </si>
  <si>
    <t xml:space="preserve">S/D/O : RAMGOPAL, H N 470 SONIGA, P S KAGARAUL, BADA TALAB KE PASS, </t>
  </si>
  <si>
    <t>UP80FB2873</t>
  </si>
  <si>
    <t>MD625HF14K1C20585</t>
  </si>
  <si>
    <t>KF1CK1220821</t>
  </si>
  <si>
    <t>TVS/1260</t>
  </si>
  <si>
    <t>RD904969130IN</t>
  </si>
  <si>
    <t>MP3012TW0102772</t>
  </si>
  <si>
    <t>2021-11-17</t>
  </si>
  <si>
    <t>Mr.LALITRAHANGDALE</t>
  </si>
  <si>
    <t>SOMAJI RAHANGDALE</t>
  </si>
  <si>
    <t>S/D/O : SOMAJI RAHANGDALE, AMEDA BALAGHAT, BALAGHAT, MANDIR KE PASS, BALAGHAT MP</t>
  </si>
  <si>
    <t>MD625CK27M1L02324</t>
  </si>
  <si>
    <t>AK2LM1X01478</t>
  </si>
  <si>
    <t>TVS/1261</t>
  </si>
  <si>
    <t>RD904969143IN</t>
  </si>
  <si>
    <t>KA3025UT0005893</t>
  </si>
  <si>
    <t>Karnataka</t>
  </si>
  <si>
    <t>2018-06-20</t>
  </si>
  <si>
    <t>Mrs.PARVATHIB</t>
  </si>
  <si>
    <t>BALAMURUGAN</t>
  </si>
  <si>
    <t>S/D/O : BALAMURUGAN, 612 SHANKARA, CHIKMAGALUR, CHIKKAMMA TEMPLE, CHIKMAGALUR</t>
  </si>
  <si>
    <t>Chickmagalur</t>
  </si>
  <si>
    <t>577101</t>
  </si>
  <si>
    <t>kn</t>
  </si>
  <si>
    <t>7795822758</t>
  </si>
  <si>
    <t>KA18EA9096</t>
  </si>
  <si>
    <t>MD621BD15E1L00440</t>
  </si>
  <si>
    <t>0D1LE1927525</t>
  </si>
  <si>
    <t>TVS/1262</t>
  </si>
  <si>
    <t>RD904969157IN</t>
  </si>
  <si>
    <t>KA3025CA0006091</t>
  </si>
  <si>
    <t>2018-12-20</t>
  </si>
  <si>
    <t>Mr.JAGADEESH DS</t>
  </si>
  <si>
    <t>SURESH</t>
  </si>
  <si>
    <t>S/D/O : SURESH, DASANAPURA VILLAGE HANGODU HOBALI, HUNSURU TALLUKU HUNSURU, NEAR KALLU RAPPANA BETTA, MYSORE</t>
  </si>
  <si>
    <t>Mysore</t>
  </si>
  <si>
    <t>571105</t>
  </si>
  <si>
    <t>9902453731</t>
  </si>
  <si>
    <t>KA09MC4077</t>
  </si>
  <si>
    <t>MA3EUA61S00855359</t>
  </si>
  <si>
    <t>F8DN5621571</t>
  </si>
  <si>
    <t>MARUTI SUZUKI ALTO 800 LX PETROL</t>
  </si>
  <si>
    <t>TVS/1263</t>
  </si>
  <si>
    <t>RD904969165IN</t>
  </si>
  <si>
    <t>KA3025TW0126712</t>
  </si>
  <si>
    <t>Mrs.PALLAVI M</t>
  </si>
  <si>
    <t>DEEP KUMAR</t>
  </si>
  <si>
    <t>S/D/O : DEEP KUMAR, 206 2ND CROSS, K N PURA, NEAR LAYER ROAD, MYSORE</t>
  </si>
  <si>
    <t>570019</t>
  </si>
  <si>
    <t>7406247583</t>
  </si>
  <si>
    <t>KA55EB3698</t>
  </si>
  <si>
    <t>MD626AK14L2P02150</t>
  </si>
  <si>
    <t>AK1PL2401822</t>
  </si>
  <si>
    <t>SCOOTY PEP PLUS MATTE SERIES - BSVI</t>
  </si>
  <si>
    <t>TVS/1264</t>
  </si>
  <si>
    <t>RD904969174IN</t>
  </si>
  <si>
    <t>KA3025TW0102684</t>
  </si>
  <si>
    <t>2019-01-04</t>
  </si>
  <si>
    <t>Mrs.SHASHIKALA H</t>
  </si>
  <si>
    <t>HOOVAYYA POOJARY</t>
  </si>
  <si>
    <t xml:space="preserve">S/D/O : HOOVAYYA POOJARY, 2-115, NERALAKATTE PANJODY, IRVATHUR, TEMPLE, </t>
  </si>
  <si>
    <t>Dakshina Kannada</t>
  </si>
  <si>
    <t>574233</t>
  </si>
  <si>
    <t>9480885002</t>
  </si>
  <si>
    <t>KA19HA4091</t>
  </si>
  <si>
    <t>MD626AG76J2N17964</t>
  </si>
  <si>
    <t>AG7NJ2216517</t>
  </si>
  <si>
    <t>TVS/1265</t>
  </si>
  <si>
    <t>RD904969188IN</t>
  </si>
  <si>
    <t>KA3025TW0126621</t>
  </si>
  <si>
    <t>2021-01-18</t>
  </si>
  <si>
    <t>Mr.SHIVAKUMAR H</t>
  </si>
  <si>
    <t>HOSURAYYA</t>
  </si>
  <si>
    <t>S/D/O : HOSURAYYA, HAMPAPURA HOBLI HD KOTE TQ, GB SARAGURU POST, NEAR ANGANAVADI, KATTE HUNDI MYSORE</t>
  </si>
  <si>
    <t>570026</t>
  </si>
  <si>
    <t>7353817016</t>
  </si>
  <si>
    <t>KA09JC4340</t>
  </si>
  <si>
    <t>MD625AK23L1N04001</t>
  </si>
  <si>
    <t>CK2NL1305991</t>
  </si>
  <si>
    <t>TVS/1266</t>
  </si>
  <si>
    <t>RD904969191IN</t>
  </si>
  <si>
    <t>KA3110TW0003224</t>
  </si>
  <si>
    <t>2018-09-03</t>
  </si>
  <si>
    <t>Mr.N HRAJU</t>
  </si>
  <si>
    <t>HANUMANTHAIAH</t>
  </si>
  <si>
    <t>S/D/O : HANUMANTHAIAH, 05 NAVILE VADDARAHATTY, NAVILE POST BAGURU HOBLI CHANNARAYAPATNA, GOVT PRIMARY SCHOOL, HASSAN</t>
  </si>
  <si>
    <t>Hassan</t>
  </si>
  <si>
    <t>573131</t>
  </si>
  <si>
    <t>7760052239</t>
  </si>
  <si>
    <t>KA13EP1023</t>
  </si>
  <si>
    <t>MD625GF1XJ1H47308</t>
  </si>
  <si>
    <t>LF1HJ1X27215</t>
  </si>
  <si>
    <t>TVS/1267</t>
  </si>
  <si>
    <t>RD904969205IN</t>
  </si>
  <si>
    <t>KA3025TW0125894</t>
  </si>
  <si>
    <t>2020-12-23</t>
  </si>
  <si>
    <t>Mrs.JYOTHI K R</t>
  </si>
  <si>
    <t>SRIDHARA K S</t>
  </si>
  <si>
    <t>S/D/O : SRIDHARA K S, KAIGONAHALLI V, JAGINAKERE POST, VEERABHADRASWAMY TEMPLE, K R PETE TQ MANDYA D</t>
  </si>
  <si>
    <t>Mandya</t>
  </si>
  <si>
    <t>571436</t>
  </si>
  <si>
    <t>7795193903</t>
  </si>
  <si>
    <t>KA54Q4573</t>
  </si>
  <si>
    <t>MD621BP2XL1N37460</t>
  </si>
  <si>
    <t>BP2NL1438143</t>
  </si>
  <si>
    <t>TVS/1268</t>
  </si>
  <si>
    <t>RD904969214IN</t>
  </si>
  <si>
    <t>KA3009UT0014573</t>
  </si>
  <si>
    <t>Mr.KRISHNAMURTHY  H</t>
  </si>
  <si>
    <t>HANUMANTHAPPA</t>
  </si>
  <si>
    <t xml:space="preserve">S/D/O : HANUMANTHAPPA, NO: 60, 2ND CROSS, CHOLURPALYA,, BANGALORE, OPP GANESH TEMPLE ROAD, </t>
  </si>
  <si>
    <t>Bangalore</t>
  </si>
  <si>
    <t>560023</t>
  </si>
  <si>
    <t>9591380073</t>
  </si>
  <si>
    <t>KA02HY8581</t>
  </si>
  <si>
    <t>MD621BD14E2C70358</t>
  </si>
  <si>
    <t>OD1CE1495998</t>
  </si>
  <si>
    <t>TVS/1269</t>
  </si>
  <si>
    <t>RD904969228IN</t>
  </si>
  <si>
    <t>KA3110UT0001403</t>
  </si>
  <si>
    <t>Mr.RAJANNA  S</t>
  </si>
  <si>
    <t>SANJEEVAPPA</t>
  </si>
  <si>
    <t xml:space="preserve">S/D/O : SANJEEVAPPA, 134 JAMMAPURA (V) THORANAGATTE (P), JAGALUR DAVANAGERE, NEAR BUS STAND, </t>
  </si>
  <si>
    <t>577521</t>
  </si>
  <si>
    <t>9980860448</t>
  </si>
  <si>
    <t>KA17ET4177</t>
  </si>
  <si>
    <t>MD625CF15F1L64163</t>
  </si>
  <si>
    <t>CF1LF1393139</t>
  </si>
  <si>
    <t>TVS/1270</t>
  </si>
  <si>
    <t>RD904969231IN</t>
  </si>
  <si>
    <t>KA3009UT0008937</t>
  </si>
  <si>
    <t>2018-01-16</t>
  </si>
  <si>
    <t>Mr.SENDHIL KUMARP</t>
  </si>
  <si>
    <t>PANNIR SELVAM</t>
  </si>
  <si>
    <t xml:space="preserve">S/D/O : PANNIR SELVAM, NO 132 ROOPENA AGRAHARA NGR LAYOUT, BANGALORE, NEAR VINAYAKA TEMPLE, </t>
  </si>
  <si>
    <t>560068</t>
  </si>
  <si>
    <t>9738989455</t>
  </si>
  <si>
    <t>KA01HT2329</t>
  </si>
  <si>
    <t>MD626BG41G1N66886</t>
  </si>
  <si>
    <t>BG4NG1561150</t>
  </si>
  <si>
    <t>TW LIVE TOP UP LOAN</t>
  </si>
  <si>
    <t>TVS/1271</t>
  </si>
  <si>
    <t>RD904969245IN</t>
  </si>
  <si>
    <t>KA3009TW0160929</t>
  </si>
  <si>
    <t>2019-04-27</t>
  </si>
  <si>
    <t>Mr.SANJAY KUMAR M N</t>
  </si>
  <si>
    <t>NAGEGOWDA</t>
  </si>
  <si>
    <t xml:space="preserve">S/D/O : NAGEGOWDA, NO43, 2ND CROSS, BANEGANAHALLI, BANGLORE, DOORAVANINGR, GNAPATHI TEMPLE, </t>
  </si>
  <si>
    <t>560016</t>
  </si>
  <si>
    <t>9740526479</t>
  </si>
  <si>
    <t>MD634DE66K2B00502</t>
  </si>
  <si>
    <t>DE6BK2400486</t>
  </si>
  <si>
    <t>TVS/1272</t>
  </si>
  <si>
    <t>RD904969259IN</t>
  </si>
  <si>
    <t>KA3009TW0186972</t>
  </si>
  <si>
    <t>2020-11-12</t>
  </si>
  <si>
    <t>Miss.KAVYA K</t>
  </si>
  <si>
    <t>KRISHNA MURTHY</t>
  </si>
  <si>
    <t>S/D/O : KRISHNA MURTHY, 30, 12TH  CROSS 2ND MAIN ROAD, NEAR MUTHYALAMMA TEMPLE, SR NAGARA</t>
  </si>
  <si>
    <t>560027</t>
  </si>
  <si>
    <t>9743652280</t>
  </si>
  <si>
    <t>KA05LB3802</t>
  </si>
  <si>
    <t>MD626AK34L2L20508</t>
  </si>
  <si>
    <t>AK3LL2620683</t>
  </si>
  <si>
    <t>NTORQ 125 DISC - SUPER SQUAD EDITION BSVI</t>
  </si>
  <si>
    <t>TVS/1273</t>
  </si>
  <si>
    <t>RD904969262IN</t>
  </si>
  <si>
    <t>KA3009TW0203632</t>
  </si>
  <si>
    <t>2021-12-28</t>
  </si>
  <si>
    <t>Miss.LAKSHMIS K</t>
  </si>
  <si>
    <t>GANGARAJA</t>
  </si>
  <si>
    <t>S/D/O : GANGARAJA, NO 29 PALANAHALLI VILLAGE, YELAHANAKA, PALANAHALLI LAKE, BANGALORE NORTH</t>
  </si>
  <si>
    <t>560064</t>
  </si>
  <si>
    <t>9008865876</t>
  </si>
  <si>
    <t>KA50EG9531</t>
  </si>
  <si>
    <t>MD626CG56M1L04808</t>
  </si>
  <si>
    <t>DG5LM1701307</t>
  </si>
  <si>
    <t>JUPITER ZX BSVI - AOL - DRUM</t>
  </si>
  <si>
    <t>TVS/1274</t>
  </si>
  <si>
    <t>RD904969276IN</t>
  </si>
  <si>
    <t>KA3009TW0158911</t>
  </si>
  <si>
    <t>Mr.UMESH D</t>
  </si>
  <si>
    <t>DEVI DAS RAO</t>
  </si>
  <si>
    <t xml:space="preserve">S/D/O : DEVI DAS RAO, NO 72, 6TH CROSS 3RD BLOCK TR NAGAR, PLEGAMMA TEMPLE, </t>
  </si>
  <si>
    <t>560028</t>
  </si>
  <si>
    <t>9738539482</t>
  </si>
  <si>
    <t>KA05KS0020</t>
  </si>
  <si>
    <t>MD626AG7XK2B16793</t>
  </si>
  <si>
    <t>AG7BK2X13046</t>
  </si>
  <si>
    <t>TVS/1275</t>
  </si>
  <si>
    <t>RD904969280IN</t>
  </si>
  <si>
    <t>KA3009TW0189056</t>
  </si>
  <si>
    <t>2020-12-30</t>
  </si>
  <si>
    <t>Mrs.BI BI AYESHA</t>
  </si>
  <si>
    <t>B N AHMED KHAN</t>
  </si>
  <si>
    <t>S/D/O : B N AHMED KHAN, 6 SURVEY NO 55, THIRUMENAHALLI ROAD, MANIK SULTAN NAGAR, BELLAHALLI</t>
  </si>
  <si>
    <t>8867635651</t>
  </si>
  <si>
    <t>KA03KF5134</t>
  </si>
  <si>
    <t>MD626CG56L1N05123</t>
  </si>
  <si>
    <t>CG5NL1604571</t>
  </si>
  <si>
    <t>JUPITER CLASSIC BSVI</t>
  </si>
  <si>
    <t>TVS/1276</t>
  </si>
  <si>
    <t>RD904969293IN</t>
  </si>
  <si>
    <t>KA3024TW0064671</t>
  </si>
  <si>
    <t>Mr.SANTOSHKUMARGOLA</t>
  </si>
  <si>
    <t>JAGANATH GOLA</t>
  </si>
  <si>
    <t xml:space="preserve">S/D/O : JAGANATH GOLA, VAIJAPUR, GULBARGA, MAIN ROAD, </t>
  </si>
  <si>
    <t>Gulbarga</t>
  </si>
  <si>
    <t>585213</t>
  </si>
  <si>
    <t>9972997072</t>
  </si>
  <si>
    <t>MD625AK24M1L02754</t>
  </si>
  <si>
    <t>CK2LM1202705</t>
  </si>
  <si>
    <t>STARCITY PLUS ES DISC BSVI</t>
  </si>
  <si>
    <t>TVS/1277</t>
  </si>
  <si>
    <t>RD904969302IN</t>
  </si>
  <si>
    <t>KA3009TW0190071</t>
  </si>
  <si>
    <t>2021-01-22</t>
  </si>
  <si>
    <t>Mr.DILIP KUMAR N R</t>
  </si>
  <si>
    <t>S/D/O : RAJENDRA, NO 309 3RD MAIN 3RD CROSS, MANJUNATHANAGAR RAJAJINAGAR, BALAJI BAR, BANGLORE</t>
  </si>
  <si>
    <t>560010</t>
  </si>
  <si>
    <t>8296632469</t>
  </si>
  <si>
    <t>KA02KH2535</t>
  </si>
  <si>
    <t>MD626AK36M2AA5600</t>
  </si>
  <si>
    <t>AK3AM22A5188</t>
  </si>
  <si>
    <t>TVS/1278</t>
  </si>
  <si>
    <t>RD904969316IN</t>
  </si>
  <si>
    <t>KA3009TW0181776</t>
  </si>
  <si>
    <t>2020-07-29</t>
  </si>
  <si>
    <t>Mr.SRINIVAS C</t>
  </si>
  <si>
    <t>CHANDRAPPA</t>
  </si>
  <si>
    <t>S/D/O : CHANDRAPPA, NO-00,3RD CROSS MARUTHINAGAR, 26TH WARD MARURHINAGARA, ANGANAWADI, DODDABALLAPUR BANGALORE RURAL</t>
  </si>
  <si>
    <t>Bangalore Rural</t>
  </si>
  <si>
    <t>561203</t>
  </si>
  <si>
    <t>9632030096</t>
  </si>
  <si>
    <t>KA43W6430</t>
  </si>
  <si>
    <t>MD626CG54L1B19223</t>
  </si>
  <si>
    <t>CG5BL1215007</t>
  </si>
  <si>
    <t>TVS/1279</t>
  </si>
  <si>
    <t>RD904969320IN</t>
  </si>
  <si>
    <t>KA3110TW0017669</t>
  </si>
  <si>
    <t>2020-10-23</t>
  </si>
  <si>
    <t>Mr.DEVARAJU S</t>
  </si>
  <si>
    <t>SHIVANNA</t>
  </si>
  <si>
    <t>S/D/O : SHIVANNA, MASTHAYYANA PALYA SASALU POST SHETTIKERE HOBLI, CHIKKANAYAKANAHALLI TQ, TEMPLE, TUMKUR</t>
  </si>
  <si>
    <t>Tumkur</t>
  </si>
  <si>
    <t>572214</t>
  </si>
  <si>
    <t>6361611123</t>
  </si>
  <si>
    <t>KA44X3611</t>
  </si>
  <si>
    <t>MD625BK25L1K07009</t>
  </si>
  <si>
    <t>BK2KL1206773</t>
  </si>
  <si>
    <t>TVS/1280</t>
  </si>
  <si>
    <t>RD904969333IN</t>
  </si>
  <si>
    <t>KA3009TW0167625</t>
  </si>
  <si>
    <t>2019-08-26</t>
  </si>
  <si>
    <t>Mr.GIRISH M</t>
  </si>
  <si>
    <t>MUNIYAPPA</t>
  </si>
  <si>
    <t xml:space="preserve">S/D/O : MUNIYAPPA, 31/42,,,JC COLONY, LALBAGH SIDDAPURA, YALLAMMA TEMPLE, </t>
  </si>
  <si>
    <t>560011</t>
  </si>
  <si>
    <t>9353067725</t>
  </si>
  <si>
    <t>KA05KV1212</t>
  </si>
  <si>
    <t>MD626AG74K2H13633</t>
  </si>
  <si>
    <t>AG7HK2237401</t>
  </si>
  <si>
    <t>TVS/1281</t>
  </si>
  <si>
    <t>RD904969347IN</t>
  </si>
  <si>
    <t>KA3009TW0153396</t>
  </si>
  <si>
    <t>2018-12-19</t>
  </si>
  <si>
    <t>Mr.SUREANDRA K</t>
  </si>
  <si>
    <t>KODIVENDLA VENKATA NARAYANA</t>
  </si>
  <si>
    <t xml:space="preserve">S/D/O : KODIVENDLA VENKATA NARAYANA, 16/1,4TH CROSS,KENCHAPPA LAYOUT, KUDLU, NEAR AVULAMMA TEMPLE, </t>
  </si>
  <si>
    <t>9739065841</t>
  </si>
  <si>
    <t>KA01JC4790</t>
  </si>
  <si>
    <t>MD626EG40J1LG4254</t>
  </si>
  <si>
    <t>EG4LJ14H9521</t>
  </si>
  <si>
    <t>TVS/1282</t>
  </si>
  <si>
    <t>RD904969355IN</t>
  </si>
  <si>
    <t>KA3009TW0152193</t>
  </si>
  <si>
    <t>2018-11-27</t>
  </si>
  <si>
    <t>Mr.SANJAPPA S</t>
  </si>
  <si>
    <t>SHIVAPPA</t>
  </si>
  <si>
    <t xml:space="preserve">S/D/O : SHIVAPPA, GROUND FLOOR VI T ROAD, SONNAPPANAHALLI, ANJANEYA TEMPLE, </t>
  </si>
  <si>
    <t>562157</t>
  </si>
  <si>
    <t>9108470509</t>
  </si>
  <si>
    <t>KA50EB9095</t>
  </si>
  <si>
    <t>MD625FF12J1G01480</t>
  </si>
  <si>
    <t>FF1GJ1168890</t>
  </si>
  <si>
    <t>TVS/1283</t>
  </si>
  <si>
    <t>RD904969364IN</t>
  </si>
  <si>
    <t>KA3024TW0058289</t>
  </si>
  <si>
    <t>2020-12-05</t>
  </si>
  <si>
    <t>Mr.SANTOSH B</t>
  </si>
  <si>
    <t>BHIMSHA  PANCHAL</t>
  </si>
  <si>
    <t>S/D/O : BHIMSHA  PANCHAL, H.NO  3, VILLAGE  OTHAGI, WATER TANK, TQ  HOMNABAD  DIST  BIDAR</t>
  </si>
  <si>
    <t>Bidar</t>
  </si>
  <si>
    <t>585418</t>
  </si>
  <si>
    <t>9611123741</t>
  </si>
  <si>
    <t>MD625AK27L1B07183</t>
  </si>
  <si>
    <t>CK2BL1708121</t>
  </si>
  <si>
    <t>TVS/1284</t>
  </si>
  <si>
    <t>RD904969378IN</t>
  </si>
  <si>
    <t>KA3110TW0009046</t>
  </si>
  <si>
    <t>2019-05-20</t>
  </si>
  <si>
    <t>Mr.PAVAN KUMAR</t>
  </si>
  <si>
    <t>MANJUNATHA</t>
  </si>
  <si>
    <t xml:space="preserve">S/D/O : MANJUNATHA, SANTHEPETE, SIRA, LAKSHMI VENKATESHWARA COWTRI, </t>
  </si>
  <si>
    <t>572137</t>
  </si>
  <si>
    <t>7349046469</t>
  </si>
  <si>
    <t>KA06HF0466</t>
  </si>
  <si>
    <t>MD625GF14K1A01390</t>
  </si>
  <si>
    <t>JF1AK1800620</t>
  </si>
  <si>
    <t>TVS/1285</t>
  </si>
  <si>
    <t>RD904969381IN</t>
  </si>
  <si>
    <t>KA3009TW0195903</t>
  </si>
  <si>
    <t>2021-07-19</t>
  </si>
  <si>
    <t>Mr.TEYELAHMED</t>
  </si>
  <si>
    <t>AFTAR UDDIN</t>
  </si>
  <si>
    <t>S/D/O : AFTAR UDDIN, NO 10 FLT NO 2 1ST MAIN ROAD, ANJANEYA TEMPLE STREET SHESHADRIPURAM, MARUTHI HOSPITAL, BANGALORE</t>
  </si>
  <si>
    <t>560020</t>
  </si>
  <si>
    <t>7892038757</t>
  </si>
  <si>
    <t>KA04KF2077</t>
  </si>
  <si>
    <t>MD625AK26M1B02669</t>
  </si>
  <si>
    <t>CK2BM1X00960</t>
  </si>
  <si>
    <t>TVS/1286</t>
  </si>
  <si>
    <t>RD904969395IN</t>
  </si>
  <si>
    <t>KA3009TW0154247</t>
  </si>
  <si>
    <t>2019-01-05</t>
  </si>
  <si>
    <t>Mr.SAMPATH KUMAR H S</t>
  </si>
  <si>
    <t>SREENIVAASA MURTHY</t>
  </si>
  <si>
    <t xml:space="preserve">S/D/O : SREENIVAASA MURTHY, NO.224, 2ND FLOOR,  6TH MAIN ROAD, GURURAJA LAYOUT,  BSK 3RD STAGE, OM SHAKTHI TEMPLE, </t>
  </si>
  <si>
    <t>560085</t>
  </si>
  <si>
    <t>9945218495</t>
  </si>
  <si>
    <t>KA05KQ3381</t>
  </si>
  <si>
    <t>MD625FF1XJ1N03035</t>
  </si>
  <si>
    <t>FF1NJ1404942</t>
  </si>
  <si>
    <t>TVS/1287</t>
  </si>
  <si>
    <t>RD904969404IN</t>
  </si>
  <si>
    <t>KA3009TW0187735</t>
  </si>
  <si>
    <t>Mrs.ASMA KHAN F</t>
  </si>
  <si>
    <t>FAIROZ KHAN</t>
  </si>
  <si>
    <t xml:space="preserve">S/D/O : FAIROZ KHAN, NO 42/1 , 3RD MAIN 5TH CROSS, GANGONDANAHALLI, BANGALORE SOUTH, BENGALORE, MAJJIDI ROAD, </t>
  </si>
  <si>
    <t>560039</t>
  </si>
  <si>
    <t>8310083905</t>
  </si>
  <si>
    <t>KA41ES1429</t>
  </si>
  <si>
    <t>MD626AK30L2N19006</t>
  </si>
  <si>
    <t>AK3NL2218669</t>
  </si>
  <si>
    <t>TVS/1288</t>
  </si>
  <si>
    <t>RD904969418IN</t>
  </si>
  <si>
    <t>KA3009TW0177554</t>
  </si>
  <si>
    <t>2020-03-09</t>
  </si>
  <si>
    <t>Mr.CHANDRAN PRAKASH N</t>
  </si>
  <si>
    <t>NAGARAJ</t>
  </si>
  <si>
    <t>S/D/O : NAGARAJ, NO 16 BHOVI LANE, C STREET ASHOK NAGAR, MUSEUM ROAD, MUSEUM ROAD BANGALORE</t>
  </si>
  <si>
    <t>560025</t>
  </si>
  <si>
    <t>9342184267</t>
  </si>
  <si>
    <t>MD626AG74K2E04552</t>
  </si>
  <si>
    <t>AG7EK2704164</t>
  </si>
  <si>
    <t>NTORQ 125CC DRUM</t>
  </si>
  <si>
    <t>TVS/1289</t>
  </si>
  <si>
    <t>RD904969421IN</t>
  </si>
  <si>
    <t>KA3009TW0171861</t>
  </si>
  <si>
    <t>Mr.BALARAM SINGH</t>
  </si>
  <si>
    <t>HARENDRA SINGH</t>
  </si>
  <si>
    <t xml:space="preserve">S/D/O : HARENDRA SINGH, 2ND FLOOR SREE SAI APARTMENT PODU VILLEGE, HULIMANGALA POST NEAR GANESHA TEMPLE, GANESHA TEMPLE, </t>
  </si>
  <si>
    <t>560105</t>
  </si>
  <si>
    <t>8861549292</t>
  </si>
  <si>
    <t>MD626EG48K1L2373</t>
  </si>
  <si>
    <t>DG4LK1815594</t>
  </si>
  <si>
    <t>JUPITER ZX</t>
  </si>
  <si>
    <t>TVS/1290</t>
  </si>
  <si>
    <t>RD904969435IN</t>
  </si>
  <si>
    <t>KA3110TW0009296</t>
  </si>
  <si>
    <t>2019-05-30</t>
  </si>
  <si>
    <t>Mr.RANGARAJU G</t>
  </si>
  <si>
    <t>GUBBI RANGAIAH</t>
  </si>
  <si>
    <t xml:space="preserve">S/D/O : GUBBI RANGAIAH, GABBI TALUKU MADIHALLI, KALLUR , GUBBI, NEAR WATER TANK, </t>
  </si>
  <si>
    <t>572220</t>
  </si>
  <si>
    <t>9148364980</t>
  </si>
  <si>
    <t>KA06HF1128</t>
  </si>
  <si>
    <t>MD637AE74J2K97177</t>
  </si>
  <si>
    <t>AE7KJ2993532</t>
  </si>
  <si>
    <t>TVS/1291</t>
  </si>
  <si>
    <t>RD904969449IN</t>
  </si>
  <si>
    <t>KA3009TW0177765</t>
  </si>
  <si>
    <t>2020-03-13</t>
  </si>
  <si>
    <t>Mr.LOKESH H R</t>
  </si>
  <si>
    <t>RAMACHANDRAPPA</t>
  </si>
  <si>
    <t>S/D/O : RAMACHANDRAPPA, MUN1IKRISHNAPPA BUILDING 2 TH CROSS NEAR GOVERNMEN, SCHOOL MARIYAMMA TEMPLE CROSS VINAYAKA LAYOUT, MARIYAMMA TEMPLE, KAVERINAGARA MAHADEVAPURA POST BANGALORE</t>
  </si>
  <si>
    <t>560048</t>
  </si>
  <si>
    <t>7406401020</t>
  </si>
  <si>
    <t>MD626AG72L2A00683</t>
  </si>
  <si>
    <t>BG7AL2X08087</t>
  </si>
  <si>
    <t>TVS NTORQ 125 DISC - RACE EDITION</t>
  </si>
  <si>
    <t>TVS/1292</t>
  </si>
  <si>
    <t>RD904969452IN</t>
  </si>
  <si>
    <t>KA3024TW0062800</t>
  </si>
  <si>
    <t>Mr.PARAMESHWARA</t>
  </si>
  <si>
    <t>AMBARAYA</t>
  </si>
  <si>
    <t>S/D/O : AMBARAYA, E/11/2748, BORABAI NAGAR, BEHIND GADRE SAB BUILDING, BRAHMPUR GULBARGA</t>
  </si>
  <si>
    <t>585103</t>
  </si>
  <si>
    <t>8971040491</t>
  </si>
  <si>
    <t>MD621BP24M1G23612</t>
  </si>
  <si>
    <t>BP2GM1425677</t>
  </si>
  <si>
    <t>TVS/1293</t>
  </si>
  <si>
    <t>RD904969466IN</t>
  </si>
  <si>
    <t>KA3009TW0130171</t>
  </si>
  <si>
    <t>2017-12-09</t>
  </si>
  <si>
    <t>Mr.SHIVAKUMARB C</t>
  </si>
  <si>
    <t>CHALUVAIAH</t>
  </si>
  <si>
    <t>S/D/O : CHALUVAIAH, 53 12TH CROSS, MUTTURAYASWAMY LAYOUT, NEAR WATER TANK, SUNKUDKATTE BANGALORE</t>
  </si>
  <si>
    <t>560091</t>
  </si>
  <si>
    <t>8951414150</t>
  </si>
  <si>
    <t>KA02JS3991</t>
  </si>
  <si>
    <t>MD621EP14H1N43593</t>
  </si>
  <si>
    <t>DP1NH1801270</t>
  </si>
  <si>
    <t>TVS/1294</t>
  </si>
  <si>
    <t>RD904969470IN</t>
  </si>
  <si>
    <t>KA3009TW0197905</t>
  </si>
  <si>
    <t>2021-08-31</t>
  </si>
  <si>
    <t>Mr.SURESH BABUJ</t>
  </si>
  <si>
    <t>JAMES</t>
  </si>
  <si>
    <t>S/D/O : JAMES, NO 94, HONCOCKS BLOCK,, MARIKUPPAM POST, KGF, CHAMPION RAILWAY STATION, BANGARPET TQ KOLAR DIST</t>
  </si>
  <si>
    <t>Kolar</t>
  </si>
  <si>
    <t>563119</t>
  </si>
  <si>
    <t>9902292032</t>
  </si>
  <si>
    <t>KA08EA5516</t>
  </si>
  <si>
    <t>MD637DE52M2B07545</t>
  </si>
  <si>
    <t>GE5BM2907530</t>
  </si>
  <si>
    <t>APACHE RTR 160 4V BSVI - DISC HI PO</t>
  </si>
  <si>
    <t>TVS/1295</t>
  </si>
  <si>
    <t>RD904969483IN</t>
  </si>
  <si>
    <t>KA3009TW0182014</t>
  </si>
  <si>
    <t>2020-07-31</t>
  </si>
  <si>
    <t>Mrs.SHIVAMMA H</t>
  </si>
  <si>
    <t>MURTHY U</t>
  </si>
  <si>
    <t>S/D/O : MURTHY U, NO 400 HKGN SAWMIL T BEGUR, T BEGUR NELAMANGALA TALUK, NEAR WATER TANK, BANGALORE</t>
  </si>
  <si>
    <t>562123</t>
  </si>
  <si>
    <t>9632222841</t>
  </si>
  <si>
    <t>KA52S6696</t>
  </si>
  <si>
    <t>MD626AK38L2A02331</t>
  </si>
  <si>
    <t>AK3AL2401921</t>
  </si>
  <si>
    <t>TVS/1296</t>
  </si>
  <si>
    <t>RD904969497IN</t>
  </si>
  <si>
    <t>KA3009TW0174143</t>
  </si>
  <si>
    <t>2019-12-21</t>
  </si>
  <si>
    <t>Mrs.HEMA LATHA</t>
  </si>
  <si>
    <t>NAGESH</t>
  </si>
  <si>
    <t xml:space="preserve">S/D/O : NAGESH, NO.49.50, 1ST CROSS,, SIDDAPPA LAYOUT, SHOP, </t>
  </si>
  <si>
    <t>560062</t>
  </si>
  <si>
    <t>7406240915</t>
  </si>
  <si>
    <t>KA05KX3322</t>
  </si>
  <si>
    <t>MD626EG43K1L03406</t>
  </si>
  <si>
    <t>DG4LK1201923</t>
  </si>
  <si>
    <t>JUPITER GRANDE DISC</t>
  </si>
  <si>
    <t>TVS/1297</t>
  </si>
  <si>
    <t>RD904969506IN</t>
  </si>
  <si>
    <t>KA3110TW0007834</t>
  </si>
  <si>
    <t>2019-03-19</t>
  </si>
  <si>
    <t>Mr.BASAVARAJU N</t>
  </si>
  <si>
    <t>NARASIMHAIAH</t>
  </si>
  <si>
    <t xml:space="preserve">S/D/O : NARASIMHAIAH, SONDENAHALLI,  GODEKERE POST, SHETTIKERE HOBLI, KEMPAMMA TEMPLE, </t>
  </si>
  <si>
    <t>572226</t>
  </si>
  <si>
    <t>7618729907</t>
  </si>
  <si>
    <t>KA44W9085</t>
  </si>
  <si>
    <t>MD625PF58J1H60156</t>
  </si>
  <si>
    <t>NF5HJ1576306</t>
  </si>
  <si>
    <t>TVS/1298</t>
  </si>
  <si>
    <t>RD904969510IN</t>
  </si>
  <si>
    <t>KA3009TW0197072</t>
  </si>
  <si>
    <t>2021-08-18</t>
  </si>
  <si>
    <t>Mr.JAYANTHSINGH</t>
  </si>
  <si>
    <t>GANESH SINGH</t>
  </si>
  <si>
    <t>S/D/O : GANESH SINGH, BHOOTHANAHALLI BHOOTHANAHALLI, BANNERGHATTA ANEKAL, NEAR TEMPLE, BANGALORE</t>
  </si>
  <si>
    <t>560083</t>
  </si>
  <si>
    <t>8095171670</t>
  </si>
  <si>
    <t>KA51HR0758</t>
  </si>
  <si>
    <t>MD626AK34M2H04812</t>
  </si>
  <si>
    <t>AK3HM2105015</t>
  </si>
  <si>
    <t>TVS/1299</t>
  </si>
  <si>
    <t>RD904969523IN</t>
  </si>
  <si>
    <t>KA3110TW0018110</t>
  </si>
  <si>
    <t>Mr.SURESHA R</t>
  </si>
  <si>
    <t>RAJANNA</t>
  </si>
  <si>
    <t>S/D/O : RAJANNA, KOTNAHALLI V, BELLAVI H MALLASANDRA P, NEAR INDIAN NO1 ATM, TUMKUR</t>
  </si>
  <si>
    <t>572107</t>
  </si>
  <si>
    <t>8553140357</t>
  </si>
  <si>
    <t>KA06HJ6189</t>
  </si>
  <si>
    <t>MD626AK33L2L22086</t>
  </si>
  <si>
    <t>AK3LL2122113</t>
  </si>
  <si>
    <t>TVS/1300</t>
  </si>
  <si>
    <t>RD904969537IN</t>
  </si>
  <si>
    <t>KA3110TW0015887</t>
  </si>
  <si>
    <t>2020-07-10</t>
  </si>
  <si>
    <t>Mr.RAVI L</t>
  </si>
  <si>
    <t>LOKESHA</t>
  </si>
  <si>
    <t>S/D/O : LOKESHA, KENKEREHALLI ARAKERE POST, ARSIKERE TQ, MAIN ROAD, HASSAN DIST</t>
  </si>
  <si>
    <t>573112</t>
  </si>
  <si>
    <t>7760830522</t>
  </si>
  <si>
    <t>KA13ET2201</t>
  </si>
  <si>
    <t>MD626AK34L2A02763</t>
  </si>
  <si>
    <t>AK3AL2303164</t>
  </si>
  <si>
    <t>TVS NTORQ 125 DISC BSVI</t>
  </si>
  <si>
    <t>TVS/1301</t>
  </si>
  <si>
    <t>RD904969545IN</t>
  </si>
  <si>
    <t>KA3009TW0148108</t>
  </si>
  <si>
    <t>2018-10-06</t>
  </si>
  <si>
    <t>Mr.MAHESHS</t>
  </si>
  <si>
    <t>SHYAMANNA</t>
  </si>
  <si>
    <t>S/D/O : SHYAMANNA, NO 3 4TH CROSS MUNESHWARI LAYOUT, HARALUKUNTE KUDLU, NO 3 4TH CROSS MUNESHWARI LAYOUT, MAIN ROAD BANGLORE</t>
  </si>
  <si>
    <t>560061</t>
  </si>
  <si>
    <t>8861497070</t>
  </si>
  <si>
    <t>KA01JB5293</t>
  </si>
  <si>
    <t>MD626AG79J2K15312</t>
  </si>
  <si>
    <t>AG7KJ2514827</t>
  </si>
  <si>
    <t>TVS/1302</t>
  </si>
  <si>
    <t>RD904969554IN</t>
  </si>
  <si>
    <t>KA3009TW0172372</t>
  </si>
  <si>
    <t>2019-11-12</t>
  </si>
  <si>
    <t>Mr.N PRASHANTH KUMAR</t>
  </si>
  <si>
    <t>NAGARAJ RAO</t>
  </si>
  <si>
    <t xml:space="preserve">S/D/O : NAGARAJ RAO, NO 8 1ST FLOOR VD CHANDRU LAYOUT VENKATESHWARA, THEATRE ROAD DEVASANDRA KR PURAM, VENKATESHWARA TENT, </t>
  </si>
  <si>
    <t>560036</t>
  </si>
  <si>
    <t>7411687247</t>
  </si>
  <si>
    <t>KA53HE1035</t>
  </si>
  <si>
    <t>MD625HF16K1H04690</t>
  </si>
  <si>
    <t>KF1HK1805812</t>
  </si>
  <si>
    <t>TVS/1303</t>
  </si>
  <si>
    <t>RD904969568IN</t>
  </si>
  <si>
    <t>KA3009TW0188447</t>
  </si>
  <si>
    <t>2020-12-12</t>
  </si>
  <si>
    <t>Mr.ARBAZ KHAN A</t>
  </si>
  <si>
    <t>AFSAR KHAN</t>
  </si>
  <si>
    <t>S/D/O : AFSAR KHAN, NO 24 7TH MAIN ROAD OPP MADEESHA MEDICAL, PADARAYANAPURA BANGALORE SOUTH, MADEESHA MEDICAL, GOVERNMENT ELECTRIC FACTORY BANGALORE</t>
  </si>
  <si>
    <t>560026</t>
  </si>
  <si>
    <t>9008594318</t>
  </si>
  <si>
    <t>KA02KG8611</t>
  </si>
  <si>
    <t>MD626AK34L2N13371</t>
  </si>
  <si>
    <t>AK3NL2212972</t>
  </si>
  <si>
    <t>TVS/1304</t>
  </si>
  <si>
    <t>RD904969571IN</t>
  </si>
  <si>
    <t>KA3009TW0142870</t>
  </si>
  <si>
    <t>Mrs.ROOPAH</t>
  </si>
  <si>
    <t>HANUMANTHU</t>
  </si>
  <si>
    <t>S/D/O : HANUMANTHU, 11 KIRAN MAR HOUSE N, RAMCHANDRAPPA LAYOUT SEEGEHALLI, NEAR WATER TANK, BANGALORE</t>
  </si>
  <si>
    <t>560067</t>
  </si>
  <si>
    <t>8951134494</t>
  </si>
  <si>
    <t>KA53EX9494</t>
  </si>
  <si>
    <t>MD621EP11J2E23143</t>
  </si>
  <si>
    <t>DP1FJ2X37437</t>
  </si>
  <si>
    <t>TVS/1305</t>
  </si>
  <si>
    <t>RD904969585IN</t>
  </si>
  <si>
    <t>KA3009TW0202233</t>
  </si>
  <si>
    <t>2021-11-22</t>
  </si>
  <si>
    <t>Mr.DIPAKBARMAN</t>
  </si>
  <si>
    <t>DHIREN BARMAN</t>
  </si>
  <si>
    <t>S/D/O : DHIREN BARMAN, HOUSE NO 60 ROOM NO 201 GREEN GARDEN LAYOUT, MUNNEKOLALA, NEAR SAI BABA TEMPLE ROAD, MARATHAHALLI BANGALORE</t>
  </si>
  <si>
    <t>560037</t>
  </si>
  <si>
    <t>8073678276</t>
  </si>
  <si>
    <t>KA01JN6872</t>
  </si>
  <si>
    <t>MD626EG58M1L10914</t>
  </si>
  <si>
    <t>GG5LM1310838</t>
  </si>
  <si>
    <t>JUPITER BSVI - AOL</t>
  </si>
  <si>
    <t>TVS/1306</t>
  </si>
  <si>
    <t>RD904969599IN</t>
  </si>
  <si>
    <t>KA3009CA0006714</t>
  </si>
  <si>
    <t>2016-10-31</t>
  </si>
  <si>
    <t>Mr.PRAVEENT K</t>
  </si>
  <si>
    <t>TALKAD NANJAPPA KALAPPAJI</t>
  </si>
  <si>
    <t>S/D/O : TALKAD NANJAPPA KALAPPAJI, OLD NO 216 NEW NO 216 NO 216 1ST MAIN, 1ST CROSS HOUSE NO 301 THIRD FLOOR, BIG BAZAR, HEBBALE MAGNUS SUNCITY LAYOUT J P NAGAR</t>
  </si>
  <si>
    <t>560078</t>
  </si>
  <si>
    <t>9591024454</t>
  </si>
  <si>
    <t>KA05MQ1337</t>
  </si>
  <si>
    <t>MAT403725ENF05403</t>
  </si>
  <si>
    <t>22LDICOR09FVYJ08926</t>
  </si>
  <si>
    <t>TATA SAFARI 4X2 EX DIESEL 2014</t>
  </si>
  <si>
    <t>TVS/1307</t>
  </si>
  <si>
    <t>RD904969608IN</t>
  </si>
  <si>
    <t>KA3009TW0199308</t>
  </si>
  <si>
    <t>2021-09-30</t>
  </si>
  <si>
    <t>Mr.MAJARA AHMEDM</t>
  </si>
  <si>
    <t>MUSTAFA AHMED</t>
  </si>
  <si>
    <t>S/D/O : MUSTAFA AHMED, HIREBIDANUR VILLAGE ,GANGASANDRA, HIREBIDANUR POST, KASABA HOBLI, NEAR MARIGAMMA TEMPLE, GAURIBIDANUR TALUK, CHIKKABALLAPUR DIST</t>
  </si>
  <si>
    <t>Chikkaballapur</t>
  </si>
  <si>
    <t>KA40EF9559</t>
  </si>
  <si>
    <t>MD621CP2XM1D03474</t>
  </si>
  <si>
    <t>BP2DM1217193</t>
  </si>
  <si>
    <t>TVS/1308</t>
  </si>
  <si>
    <t>RD904969611IN</t>
  </si>
  <si>
    <t>KA3009TW0201353</t>
  </si>
  <si>
    <t>2021-11-04</t>
  </si>
  <si>
    <t>Mr.SAMARJITGOSWANI</t>
  </si>
  <si>
    <t>MANOJ GOWSANI</t>
  </si>
  <si>
    <t>S/D/O : MANOJ GOWSANI, AIR VIEW COLONY 2ND CROSS, NEAR BY WATER TANK MURGESHPALYA, EAR AISHWARYA BAKERY, BANGALORE NORTH BANGALORE K A</t>
  </si>
  <si>
    <t>KA01JN6092</t>
  </si>
  <si>
    <t>MD637GE58M2L06887</t>
  </si>
  <si>
    <t>GE5LM2606113</t>
  </si>
  <si>
    <t>TVS APACHE RTR 160 4V - RM SPL EDITION BSVI</t>
  </si>
  <si>
    <t>TVS/1309</t>
  </si>
  <si>
    <t>RD904969625IN</t>
  </si>
  <si>
    <t>KA3009UT0019254</t>
  </si>
  <si>
    <t>2021-07-16</t>
  </si>
  <si>
    <t>Mr.MUNSHILAL  B</t>
  </si>
  <si>
    <t>BHUNDA RAM</t>
  </si>
  <si>
    <t>S/D/O : BHUNDA RAM, 1/38 4TH FLOOR 3RD CROSS, MANJUNATH NAGAR, NEAR MAGADI ROAD METRO STATION, BANGLORE</t>
  </si>
  <si>
    <t>KA02JV4111</t>
  </si>
  <si>
    <t>MD626EG49H1P81614</t>
  </si>
  <si>
    <t>EG4PH1122034</t>
  </si>
  <si>
    <t>TVS/1310</t>
  </si>
  <si>
    <t>RD904969639IN</t>
  </si>
  <si>
    <t>KA3009TW0100304</t>
  </si>
  <si>
    <t>2016-10-05</t>
  </si>
  <si>
    <t>Mr.LOKESHR</t>
  </si>
  <si>
    <t>RANGASWAMY</t>
  </si>
  <si>
    <t>S/D/O : RANGASWAMY, 59 MARUGONDANAHALLI, GUDIGONDANAHALLI POST, KARIYAMMA TEMPLE, TIPTUR TUMKUR</t>
  </si>
  <si>
    <t>KA44S5927</t>
  </si>
  <si>
    <t>MD625CF19G1G71730</t>
  </si>
  <si>
    <t>CF1GG1932468</t>
  </si>
  <si>
    <t>STAR CITY PLUS ES GOLD 110 CC</t>
  </si>
  <si>
    <t>TVS/1311</t>
  </si>
  <si>
    <t>RD904969642IN</t>
  </si>
  <si>
    <t>KA3009TW0190365</t>
  </si>
  <si>
    <t>2021-01-29</t>
  </si>
  <si>
    <t>Mr.FAYAZ G</t>
  </si>
  <si>
    <t>GULAB SHARIFF</t>
  </si>
  <si>
    <t>S/D/O : GULAB SHARIFF, NO 86 26TH MAIN 30TH CROSS BTB AREA TILAK NAGAR ,  , SWAGATH MAIN ROAD, BANGALORE SOUTH BANGALORW</t>
  </si>
  <si>
    <t>KA51HP5257</t>
  </si>
  <si>
    <t>MD637DE54L2L02753</t>
  </si>
  <si>
    <t>DE5LL2002826</t>
  </si>
  <si>
    <t>TVS/1312</t>
  </si>
  <si>
    <t>RD904969656IN</t>
  </si>
  <si>
    <t>KA3009TW0180325</t>
  </si>
  <si>
    <t>2020-06-17</t>
  </si>
  <si>
    <t>Mrs.FARZANA BEGUM</t>
  </si>
  <si>
    <t>NAZEER AHMED AHMED</t>
  </si>
  <si>
    <t>S/D/O : NAZEER AHMED AHMED, 12,,,24/1,,,, G C STREET NEW BAMBOO BAZAR, TOWN HALL, MOTHI NAGARA</t>
  </si>
  <si>
    <t>KA01JK4933</t>
  </si>
  <si>
    <t>MD626AK30L2C01311</t>
  </si>
  <si>
    <t>AK3CL2800991</t>
  </si>
  <si>
    <t>TVS/1313</t>
  </si>
  <si>
    <t>RD904969660IN</t>
  </si>
  <si>
    <t>KA3110TW0021063</t>
  </si>
  <si>
    <t>2021-06-29</t>
  </si>
  <si>
    <t>Mr.LAKSHMINARASEGOWDAN</t>
  </si>
  <si>
    <t>NARASIMHAMURTHY</t>
  </si>
  <si>
    <t>S/D/O : NARASIMHAMURTHY, KANAKUPPE, KANNAKUPPE POST, SHANIMAHATHMA TEMPLE, HEBBUR</t>
  </si>
  <si>
    <t>MD637DE55M2D00787</t>
  </si>
  <si>
    <t>GE5DM2800881</t>
  </si>
  <si>
    <t>APACHE RTR 160 4V BSVI DRUM</t>
  </si>
  <si>
    <t>TVS/1314</t>
  </si>
  <si>
    <t>RD904969673IN</t>
  </si>
  <si>
    <t>KA3009TW0182050</t>
  </si>
  <si>
    <t>2020-08-03</t>
  </si>
  <si>
    <t>Mr.KIRAN R</t>
  </si>
  <si>
    <t>RAJA</t>
  </si>
  <si>
    <t xml:space="preserve">S/D/O : RAJA, NO 59 THUBARAHALLI RAMAGODANAHALLI  BANGALORE NORT, BANGALORE, NEAR BUS STOP, </t>
  </si>
  <si>
    <t>KA01JK4109</t>
  </si>
  <si>
    <t>MD626AK33L2G14775</t>
  </si>
  <si>
    <t>AK3FL2X08185</t>
  </si>
  <si>
    <t>TVS/1315</t>
  </si>
  <si>
    <t>RD904969687IN</t>
  </si>
  <si>
    <t>KA3009TW0187415</t>
  </si>
  <si>
    <t>2020-11-19</t>
  </si>
  <si>
    <t>Mr.RAFEEK BEG V</t>
  </si>
  <si>
    <t>VAJEER LAL BEG</t>
  </si>
  <si>
    <t xml:space="preserve">S/D/O : VAJEER LAL BEG, NO 64 PANDITHANA AGRAHARA SARJAPURA CIRCLE, ANEKAL TQ BANGALORE, GOVT SCHOLL, </t>
  </si>
  <si>
    <t>KA01JL0432</t>
  </si>
  <si>
    <t>MD634AE87L2H18588</t>
  </si>
  <si>
    <t>AE8HL2817342</t>
  </si>
  <si>
    <t>TVS/1316</t>
  </si>
  <si>
    <t>RD904969695IN</t>
  </si>
  <si>
    <t>KA3009TW0164320</t>
  </si>
  <si>
    <t>Mr.REEHAN B</t>
  </si>
  <si>
    <t>BABU JAN</t>
  </si>
  <si>
    <t xml:space="preserve">S/D/O : BABU JAN, 210, KITTAGANUR VILLAGE, BIDARAHALLI HOBLI,KR PURAM, WATER TANK, </t>
  </si>
  <si>
    <t>KA53HD0176</t>
  </si>
  <si>
    <t>MD621HP1XK1E34602</t>
  </si>
  <si>
    <t>CP1EK1135228</t>
  </si>
  <si>
    <t>TVS/1317</t>
  </si>
  <si>
    <t>RD904969700IN</t>
  </si>
  <si>
    <t>KA3009TW0156505</t>
  </si>
  <si>
    <t>Mr.GOVINDARAJU K P</t>
  </si>
  <si>
    <t>PUTTARANGAIAH</t>
  </si>
  <si>
    <t xml:space="preserve">S/D/O : PUTTARANGAIAH, NO 70/5, NAGADEVANAHALLI, KENGERI HOBLI, CHITRAKOOTA SCHOOL, </t>
  </si>
  <si>
    <t>KA41EN9781</t>
  </si>
  <si>
    <t>MD626EG42J1LF9542</t>
  </si>
  <si>
    <t>EG4LJ1804255</t>
  </si>
  <si>
    <t>TVS/1318</t>
  </si>
  <si>
    <t>RD904969713IN</t>
  </si>
  <si>
    <t>KA3009TW0140502</t>
  </si>
  <si>
    <t>2018-05-31</t>
  </si>
  <si>
    <t>Mrs.VIDYAKOTAGI</t>
  </si>
  <si>
    <t>SHEKAPPA</t>
  </si>
  <si>
    <t>S/D/O : SHEKAPPA, SRI NIVASA NILAYA 2ND, FLOOR KAMALAMMA GARDAN, NR GANESHA TEMPLE, KO DI GEHALLI KADUGODI BANGALORE</t>
  </si>
  <si>
    <t>KA53EX2497</t>
  </si>
  <si>
    <t>MD626DG40J1E10599</t>
  </si>
  <si>
    <t>DG4EJ1010027</t>
  </si>
  <si>
    <t>TVS/1319</t>
  </si>
  <si>
    <t>RD904969727IN</t>
  </si>
  <si>
    <t>KA3009TW0197717</t>
  </si>
  <si>
    <t>2021-08-28</t>
  </si>
  <si>
    <t>Mrs.CHAITHANYAG N</t>
  </si>
  <si>
    <t>R MURALIDHAR</t>
  </si>
  <si>
    <t>S/D/O : R MURALIDHAR, 126/3 MACHENAHALLI, SONAGANAHALLI, MAIN ROAD, CHIKKABALLAPUR</t>
  </si>
  <si>
    <t>KA50EG3755</t>
  </si>
  <si>
    <t>MD626BK36M2H06504</t>
  </si>
  <si>
    <t>CK3HM2206476</t>
  </si>
  <si>
    <t>TVS NTORQ 125 RACE XP BSVI</t>
  </si>
  <si>
    <t>TVS/1320</t>
  </si>
  <si>
    <t>RD904969735IN</t>
  </si>
  <si>
    <t>KA3009TW0161874</t>
  </si>
  <si>
    <t>Mr.ABDUL ASIF</t>
  </si>
  <si>
    <t>BASHA SAB</t>
  </si>
  <si>
    <t xml:space="preserve">S/D/O : BASHA SAB, NO 71/1 DARGA STREET, VARTHUR BANGALORE, DARGA STREET, </t>
  </si>
  <si>
    <t>KA01JE4350</t>
  </si>
  <si>
    <t>MD626EG48K1D10368</t>
  </si>
  <si>
    <t>EG4DK1207010</t>
  </si>
  <si>
    <t>TVS/1321</t>
  </si>
  <si>
    <t>RD904969744IN</t>
  </si>
  <si>
    <t>KA3009TW0169245</t>
  </si>
  <si>
    <t>2019-09-23</t>
  </si>
  <si>
    <t>Mr.CHANDRAPPA G</t>
  </si>
  <si>
    <t>GANGULAPPA</t>
  </si>
  <si>
    <t xml:space="preserve">S/D/O : GANGULAPPA, AMBEDKAR NAGAR VIJINAPURA, DOORVANINAGAR, AMBEDKAR NAGAR, </t>
  </si>
  <si>
    <t>MD625GF15K1H02956</t>
  </si>
  <si>
    <t>LF1HK1901282</t>
  </si>
  <si>
    <t>TVS/1322</t>
  </si>
  <si>
    <t>RD904969758IN</t>
  </si>
  <si>
    <t>KA3009TW0171733</t>
  </si>
  <si>
    <t>Mr.AADAM R</t>
  </si>
  <si>
    <t>RAJAK MIYA</t>
  </si>
  <si>
    <t xml:space="preserve">S/D/O : RAJAK MIYA, NO 22/24/8,C/O L SURESH BABU BLDG, NEAR VEERABHADRA SWAMY TEMPLE, NEAR VEERABHADRA SWAMY TEMPLE, </t>
  </si>
  <si>
    <t>KA51HK4553</t>
  </si>
  <si>
    <t>MD626AG76K2H27369</t>
  </si>
  <si>
    <t>AG7HK2X25978</t>
  </si>
  <si>
    <t>TVS/1323</t>
  </si>
  <si>
    <t>RD904969761IN</t>
  </si>
  <si>
    <t>KA3009TW0180539</t>
  </si>
  <si>
    <t>Mr.MEENSHARMA I</t>
  </si>
  <si>
    <t>RANJOPOSHARMA</t>
  </si>
  <si>
    <t>S/D/O : RANJOPOSHARMA, JAKKANAHALLI VILLAGE T BEGUR, NELAMANGALA TALUK, NEAR WATER TANK, BANGALORE</t>
  </si>
  <si>
    <t>KA52S6350</t>
  </si>
  <si>
    <t>MD626AK36L2B22094</t>
  </si>
  <si>
    <t>AK3BL2755096</t>
  </si>
  <si>
    <t>TVS/1324</t>
  </si>
  <si>
    <t>RD904969775IN</t>
  </si>
  <si>
    <t>KA3009TW0181359</t>
  </si>
  <si>
    <t>2020-07-13</t>
  </si>
  <si>
    <t>Mr.VEERESH H</t>
  </si>
  <si>
    <t>S/D/O : HANUMANTHAPPA, NO-166/1 C. K PALAYA, HULLAHALLIC MAIN ROAD SAKALVARA POST, NEAR GOVT SCHOOL, BANNERGHATTA ROAD BANGALORE</t>
  </si>
  <si>
    <t>KA51HM8016</t>
  </si>
  <si>
    <t>MD625AK25L1C03121</t>
  </si>
  <si>
    <t>CK2CL1905082</t>
  </si>
  <si>
    <t>TVS/1325</t>
  </si>
  <si>
    <t>RD904969789IN</t>
  </si>
  <si>
    <t>KA3009TW0140954</t>
  </si>
  <si>
    <t>2018-06-13</t>
  </si>
  <si>
    <t>Mr.RAJESHWARIG</t>
  </si>
  <si>
    <t>Y N BALAKRISHNA</t>
  </si>
  <si>
    <t>S/D/O : Y N BALAKRISHNA, 34 3 CHUNCHUGHATTA MAIN ROAD, BEERESHWARA NAGAR, GREEN VALLET SCHOOL, BANGALORE</t>
  </si>
  <si>
    <t>KA05KK9345</t>
  </si>
  <si>
    <t>MD626EG48J1E04295</t>
  </si>
  <si>
    <t>EG4EJ1X47116</t>
  </si>
  <si>
    <t>TVS/1326</t>
  </si>
  <si>
    <t>RD904969792IN</t>
  </si>
  <si>
    <t>KA3009TW0180894</t>
  </si>
  <si>
    <t>2020-06-27</t>
  </si>
  <si>
    <t>Mrs.K SANDHYA RANI</t>
  </si>
  <si>
    <t>B KRUPASHANKAR</t>
  </si>
  <si>
    <t>S/D/O : B KRUPASHANKAR, 10 NAGARAJ BUILDING, 2ND FLOOR 4TH CROSS DINNUR MAIN ROAD, BRAHMADEV MEDICALS, RT NAGAR</t>
  </si>
  <si>
    <t>KA03KE7336</t>
  </si>
  <si>
    <t>MD626AK33L2C17129</t>
  </si>
  <si>
    <t>AK3CL2416786</t>
  </si>
  <si>
    <t>TVS/1327</t>
  </si>
  <si>
    <t>RD904969801IN</t>
  </si>
  <si>
    <t>KA3009TW0175116</t>
  </si>
  <si>
    <t>Mr.THYAGARAJA T</t>
  </si>
  <si>
    <t>THIMMAYYA</t>
  </si>
  <si>
    <t xml:space="preserve">S/D/O : THIMMAYYA, NO 140/H NAGARAJ COLONY, IMMADIHALLI, NEAR GOVT SCHOOL, </t>
  </si>
  <si>
    <t>KA53HE2894</t>
  </si>
  <si>
    <t>MD626EG43L1AS3683</t>
  </si>
  <si>
    <t>EG4AL13N4564</t>
  </si>
  <si>
    <t>TVS/1328</t>
  </si>
  <si>
    <t>RD904969815IN</t>
  </si>
  <si>
    <t>KA3009TW0191770</t>
  </si>
  <si>
    <t>2021-02-27</t>
  </si>
  <si>
    <t>Mr.RAJUBHATTACHARYA</t>
  </si>
  <si>
    <t>SHANKAR BHATTACHARYA</t>
  </si>
  <si>
    <t>S/D/O : SHANKAR BHATTACHARYA, NO 12, B N R COLONY GREEN GLEN LAYOUT, BACK GATE NARAYANA SCHOOL, 3RD CROSS BELLANDUR BANGALORE</t>
  </si>
  <si>
    <t>KA01JM0709</t>
  </si>
  <si>
    <t>MD626CG52M1B06374</t>
  </si>
  <si>
    <t>DG5BM1402659</t>
  </si>
  <si>
    <t>TVS/1329</t>
  </si>
  <si>
    <t>RD904969829IN</t>
  </si>
  <si>
    <t>KA3009UT0015683</t>
  </si>
  <si>
    <t>Mr.MOHAMMED  SIRAJ</t>
  </si>
  <si>
    <t>MOHAMMED AJAZ</t>
  </si>
  <si>
    <t xml:space="preserve">S/D/O : MOHAMMED AJAZ, NO.1470, 4TH CROSS CORPORATION COLONY, GOVINDARAJ NAGAR, NR MARIYAMMA TEMPLE, </t>
  </si>
  <si>
    <t>KA02JB6119</t>
  </si>
  <si>
    <t>MD626BG44E1P83121</t>
  </si>
  <si>
    <t>BG4PE1376120</t>
  </si>
  <si>
    <t>TVS/1330</t>
  </si>
  <si>
    <t>RD904969832IN</t>
  </si>
  <si>
    <t>KA3009TW0169013</t>
  </si>
  <si>
    <t>2019-09-19</t>
  </si>
  <si>
    <t>Mrs.ROHINI K R</t>
  </si>
  <si>
    <t>RAMAPPA</t>
  </si>
  <si>
    <t xml:space="preserve">S/D/O : RAMAPPA, NO.72 YELLAMMA TEMPLE VATARA,, 12 TH MAIN ROAD, JARAGANAHALLI, J. P NAGAR 6TH PHA, YELLAMMA TEMPLE, </t>
  </si>
  <si>
    <t>KA05KV6575</t>
  </si>
  <si>
    <t>MD626AG73K2H06639</t>
  </si>
  <si>
    <t>AG7HK2005726</t>
  </si>
  <si>
    <t>TVS/1331</t>
  </si>
  <si>
    <t>RD904969846IN</t>
  </si>
  <si>
    <t>KA3009TW0187337</t>
  </si>
  <si>
    <t>2020-11-18</t>
  </si>
  <si>
    <t>Mr.NEELADHARA A</t>
  </si>
  <si>
    <t>ANJANAPPA</t>
  </si>
  <si>
    <t>S/D/O : ANJANAPPA, BOMMANDAHALLI INDLAVADI, JIGANI HOBLI ANEKAL TQ, OPP MILK DAIRY, BANGALORE</t>
  </si>
  <si>
    <t>KA51HN8333</t>
  </si>
  <si>
    <t>MD626CG51L1N19902</t>
  </si>
  <si>
    <t>DG5NL1804826</t>
  </si>
  <si>
    <t>TVS/1332</t>
  </si>
  <si>
    <t>RD904969850IN</t>
  </si>
  <si>
    <t>KA3024TW0060539</t>
  </si>
  <si>
    <t>2021-04-10</t>
  </si>
  <si>
    <t>Mrs.PARVATITAK</t>
  </si>
  <si>
    <t>MANOJ TAK</t>
  </si>
  <si>
    <t xml:space="preserve">S/D/O : MANOJ TAK, E-3-1640 GAZIPUR, GULBARGA, NEAR VALMIKI TEMPLE, </t>
  </si>
  <si>
    <t>MD626CG51M1C49204</t>
  </si>
  <si>
    <t>DG5CM1416454</t>
  </si>
  <si>
    <t>TVS/1333</t>
  </si>
  <si>
    <t>RD904969863IN</t>
  </si>
  <si>
    <t>KA3009TW0161706</t>
  </si>
  <si>
    <t>2019-05-14</t>
  </si>
  <si>
    <t>Mr.SATISH K</t>
  </si>
  <si>
    <t>KARIYAPPA</t>
  </si>
  <si>
    <t xml:space="preserve">S/D/O : KARIYAPPA, NO 30 VINGADEERANAHALLI ANDRAHALLI MAIN ROAD, V N POST, ANDHRA BANK, </t>
  </si>
  <si>
    <t>KA41EP5549</t>
  </si>
  <si>
    <t>MD621HP14K2D07497</t>
  </si>
  <si>
    <t>CP1DK2616407</t>
  </si>
  <si>
    <t>TVS/1334</t>
  </si>
  <si>
    <t>RD904969877IN</t>
  </si>
  <si>
    <t>KE3023TW0049288</t>
  </si>
  <si>
    <t>Kerala</t>
  </si>
  <si>
    <t>2022-01-13</t>
  </si>
  <si>
    <t>Mrs.SNEHAMOL SAJI</t>
  </si>
  <si>
    <t>SAJIMON T C</t>
  </si>
  <si>
    <t>S/D/O : SAJIMON T C, 10/356, IKKUZHYTHUNDIPURAYIDAM, KUNNAMTHANAM P. O, PAMALA KURUCHUMOODE, MALLAPPALLY, PATHANAMTHITTA</t>
  </si>
  <si>
    <t>Pathanamthitta</t>
  </si>
  <si>
    <t>689581</t>
  </si>
  <si>
    <t>ml</t>
  </si>
  <si>
    <t>8304976066</t>
  </si>
  <si>
    <t>KL28E5218</t>
  </si>
  <si>
    <t>MD626EG57M1P00371</t>
  </si>
  <si>
    <t>GG5PM1000165</t>
  </si>
  <si>
    <t>TVS/1335</t>
  </si>
  <si>
    <t>RD904969885IN</t>
  </si>
  <si>
    <t>KE3023TW0042122</t>
  </si>
  <si>
    <t>2021-01-04</t>
  </si>
  <si>
    <t>Mrs.SAMEERA S</t>
  </si>
  <si>
    <t>SHAMEER</t>
  </si>
  <si>
    <t>S/D/O : SHAMEER, KUNNIL PUTHEN VEEDU, NEAR CASHEW FACTORY, NADAYARA, AYIROOR, VARKALA, KUNNIL CASHEW FACTORY, THIRUVANANTHAPURAM DIST</t>
  </si>
  <si>
    <t>Thiruvananthapuram</t>
  </si>
  <si>
    <t>695141</t>
  </si>
  <si>
    <t>7594908618</t>
  </si>
  <si>
    <t>KL813066</t>
  </si>
  <si>
    <t>MD626AK36L2P17721</t>
  </si>
  <si>
    <t>AK3PL2615699</t>
  </si>
  <si>
    <t>TVS/1336</t>
  </si>
  <si>
    <t>RD904969894IN</t>
  </si>
  <si>
    <t>KE3023TW0037416</t>
  </si>
  <si>
    <t>2020-01-24</t>
  </si>
  <si>
    <t>Mr.MANU R</t>
  </si>
  <si>
    <t>MANI</t>
  </si>
  <si>
    <t xml:space="preserve">S/D/O : MANI, VAYALIL, S V M P O  AYANIVELIKULANGARA, J F K M V H S SCHOOL, </t>
  </si>
  <si>
    <t>Kollam</t>
  </si>
  <si>
    <t>690573</t>
  </si>
  <si>
    <t>9539328488</t>
  </si>
  <si>
    <t>KL23S5943</t>
  </si>
  <si>
    <t>MD626AG70K2N30789</t>
  </si>
  <si>
    <t>BG7NK2809426</t>
  </si>
  <si>
    <t>TVS/1337</t>
  </si>
  <si>
    <t>RD904969903IN</t>
  </si>
  <si>
    <t>KE3022TW0033624</t>
  </si>
  <si>
    <t>2018-06-23</t>
  </si>
  <si>
    <t>Mr.BALANV K</t>
  </si>
  <si>
    <t>KUNJUNNI</t>
  </si>
  <si>
    <t>S/D/O : KUNJUNNI, MOOTHEDATH HOUSE,NHAMANGHAT POST, VAYLATHUR,CHAVAKKAD, I C A SCHOOL NHAMANGHAT, THRISSUR</t>
  </si>
  <si>
    <t>Thrissur</t>
  </si>
  <si>
    <t>679563</t>
  </si>
  <si>
    <t>8086333995</t>
  </si>
  <si>
    <t>KL46S5539</t>
  </si>
  <si>
    <t>MD626EG45J1E97504</t>
  </si>
  <si>
    <t>EG4EJ1037340</t>
  </si>
  <si>
    <t>TVS/1338</t>
  </si>
  <si>
    <t>RD904969917IN</t>
  </si>
  <si>
    <t>KE3023TW0030370</t>
  </si>
  <si>
    <t>2018-09-04</t>
  </si>
  <si>
    <t>Mrs.ANITHAS</t>
  </si>
  <si>
    <t>MANIYAN H</t>
  </si>
  <si>
    <t>S/D/O : MANIYAN H, MULLOORKONAM KIZHAKKUM KARA VEEDU, ANAD PO, NEDUMANGAD, PULLEKONAM PALAM, TRIVANDRUM</t>
  </si>
  <si>
    <t>695541</t>
  </si>
  <si>
    <t>9645096566</t>
  </si>
  <si>
    <t>KL21R9185</t>
  </si>
  <si>
    <t>MD626DG47J1E07571</t>
  </si>
  <si>
    <t>DG4EJ1X07103</t>
  </si>
  <si>
    <t>TVS/1339</t>
  </si>
  <si>
    <t>RD904969925IN</t>
  </si>
  <si>
    <t>KE3023TW0042780</t>
  </si>
  <si>
    <t>2021-02-06</t>
  </si>
  <si>
    <t>Mrs.CHANDINI R</t>
  </si>
  <si>
    <t>RAJAN VILANGIL THEKKETHIL NARAYANAN</t>
  </si>
  <si>
    <t>S/D/O : RAJAN VILANGIL THEKKETHIL NARAYANAN, VILANGIL THEKKETHIL, EDAPPAVOOR P O, DEVI TEMPLE, RANNI, PATHANAMTHITTA</t>
  </si>
  <si>
    <t>689614</t>
  </si>
  <si>
    <t>9526939733</t>
  </si>
  <si>
    <t>KL62E8009</t>
  </si>
  <si>
    <t>MD626AK32M2A17201</t>
  </si>
  <si>
    <t>AK3AM2517324</t>
  </si>
  <si>
    <t>TVS/1340</t>
  </si>
  <si>
    <t>RD904969934IN</t>
  </si>
  <si>
    <t>KE3022TW0051891</t>
  </si>
  <si>
    <t>Mrs.VISHNUPRIYAKR</t>
  </si>
  <si>
    <t>RAVI</t>
  </si>
  <si>
    <t>S/D/O : RAVI, KODIYIL HOUSE, ERUMAPPETTY PO, ERUMAPPETTY HIGH SCHOOL, KUNNATHERY, KARIYANNUR, THRISSUR DISTRICT</t>
  </si>
  <si>
    <t>680584</t>
  </si>
  <si>
    <t>7902343576</t>
  </si>
  <si>
    <t>KL48Q9101</t>
  </si>
  <si>
    <t>MD626AK34M2F16548</t>
  </si>
  <si>
    <t>AK3FM2917345</t>
  </si>
  <si>
    <t>TVS/1341</t>
  </si>
  <si>
    <t>RD904969948IN</t>
  </si>
  <si>
    <t>KE3022TW0053447</t>
  </si>
  <si>
    <t>2021-11-23</t>
  </si>
  <si>
    <t>Mr.RADHAKRISHNANN</t>
  </si>
  <si>
    <t>NARAYANANEZHUTHACHAN</t>
  </si>
  <si>
    <t>S/D/O : NARAYANANEZHUTHACHAN, ERATTU VEEDU, THALOOR KOODALLOOR, L P SCHOOL, CHITTUR PALAKKAD</t>
  </si>
  <si>
    <t>Palakkad</t>
  </si>
  <si>
    <t>678688</t>
  </si>
  <si>
    <t>7025819163</t>
  </si>
  <si>
    <t>KL49N2305</t>
  </si>
  <si>
    <t>MD621BP23M2K12970</t>
  </si>
  <si>
    <t>BP2KM2305055</t>
  </si>
  <si>
    <t>TVS/1342</t>
  </si>
  <si>
    <t>RD904969951IN</t>
  </si>
  <si>
    <t>KE3023TW0038494</t>
  </si>
  <si>
    <t>2020-06-10</t>
  </si>
  <si>
    <t>Mrs.SANDHYA RAJAN</t>
  </si>
  <si>
    <t>RAJAN P</t>
  </si>
  <si>
    <t>S/D/O : RAJAN P, 27/88/1, MALIYIL PUTHENVEEDU, PALIAKKARA   THIRUVALLA PO, PALIAKKARA MARKET, PATHANAMTHITTA  DT</t>
  </si>
  <si>
    <t>689101</t>
  </si>
  <si>
    <t>7356938752</t>
  </si>
  <si>
    <t>KL27J9539</t>
  </si>
  <si>
    <t>MD626AK34L2A07705</t>
  </si>
  <si>
    <t>AK3AL2408081</t>
  </si>
  <si>
    <t>TVS/1343</t>
  </si>
  <si>
    <t>RD904969965IN</t>
  </si>
  <si>
    <t>KE3023TW0045391</t>
  </si>
  <si>
    <t>2021-08-07</t>
  </si>
  <si>
    <t>Mr.MUHAMMED SHAA</t>
  </si>
  <si>
    <t>AHAMMED</t>
  </si>
  <si>
    <t>S/D/O : AHAMMED, KOCHUPARAMPIL, KULASHEKHARAPATHI P. O, JUMA MASJID, PATHANAMTHITTA</t>
  </si>
  <si>
    <t>689645</t>
  </si>
  <si>
    <t>7736668813</t>
  </si>
  <si>
    <t>KL03AF6908</t>
  </si>
  <si>
    <t>MD626EG53M1F01837</t>
  </si>
  <si>
    <t>GG5FM1601569</t>
  </si>
  <si>
    <t>TVS/1344</t>
  </si>
  <si>
    <t>RD904969979IN</t>
  </si>
  <si>
    <t>KE3022TW0050354</t>
  </si>
  <si>
    <t>2021-08-05</t>
  </si>
  <si>
    <t>Mr.MUHAMMEDSHAHIDKP</t>
  </si>
  <si>
    <t>ABDUL KAREEM KP</t>
  </si>
  <si>
    <t>S/D/O : ABDUL KAREEM KP, KULAMBIL PADINJAKKARA VEEDU, VETTIKKATTIRI PO, NEDUMPURA, KERALA KALAMANDALAM, CHERUTHURUTHY, THRISSUR DISTRICT</t>
  </si>
  <si>
    <t>KL48Q7283</t>
  </si>
  <si>
    <t>MD626EG54M1F03080</t>
  </si>
  <si>
    <t>GG5FM1102733</t>
  </si>
  <si>
    <t>JUPITER ZX DISC - BSVI - ISS</t>
  </si>
  <si>
    <t>TVS/1345</t>
  </si>
  <si>
    <t>RD904969982IN</t>
  </si>
  <si>
    <t>MH3029TW0092664</t>
  </si>
  <si>
    <t>2021-01-21</t>
  </si>
  <si>
    <t>Mrs.MAYURI DEVENDRA BAIS</t>
  </si>
  <si>
    <t>DEVENDRA</t>
  </si>
  <si>
    <t xml:space="preserve">S/D/O : DEVENDRA, FLAT NO 303 WING A VYANKATESH RESIDENCY KHAT ROAD, RAJANI NAGAR BHANDARA TAH DIST BHANDARA, KHAT ROAD RAJANI NAGAR, </t>
  </si>
  <si>
    <t>Bhandara</t>
  </si>
  <si>
    <t>441904</t>
  </si>
  <si>
    <t>mr</t>
  </si>
  <si>
    <t>9552471884</t>
  </si>
  <si>
    <t>MH36AH5679</t>
  </si>
  <si>
    <t>MD626CG50M1AA0260</t>
  </si>
  <si>
    <t>DG5AM16A0695</t>
  </si>
  <si>
    <t>JUPITER ZX DISC BSVI</t>
  </si>
  <si>
    <t>TVS/1346</t>
  </si>
  <si>
    <t>RD904969996IN</t>
  </si>
  <si>
    <t>MH3028TW0036713</t>
  </si>
  <si>
    <t>2017-09-19</t>
  </si>
  <si>
    <t>Mrs.KARTIKIVINODKHANDALE</t>
  </si>
  <si>
    <t>VINOD</t>
  </si>
  <si>
    <t xml:space="preserve">S/D/O : VINOD, H NO 1-29-62 KACHIWADA CHELIPURA, RAJA BAZAR AURANGABAD, BESIDE JAIN MANDIR, </t>
  </si>
  <si>
    <t>Aurangabad</t>
  </si>
  <si>
    <t>431001</t>
  </si>
  <si>
    <t>8788706375</t>
  </si>
  <si>
    <t>MH20ES0674</t>
  </si>
  <si>
    <t>MD626EG43H1K08725</t>
  </si>
  <si>
    <t>EG4KH1270002</t>
  </si>
  <si>
    <t>TVS/1347</t>
  </si>
  <si>
    <t>RD904970005IN</t>
  </si>
  <si>
    <t>MH3029TW0095154</t>
  </si>
  <si>
    <t>2021-07-22</t>
  </si>
  <si>
    <t>Mrs.SURYAKANTADASHRATHBAGDE</t>
  </si>
  <si>
    <t>DASHRATH</t>
  </si>
  <si>
    <t>S/D/O : DASHRATH, PLOT NO 177 SIDHARTH NAGAR TEKA, NEAR SIDHARTH NAGAR ADHTANT SCHOOL AMBEDKR MARG, NEAR JAI BHIM PARK, NAGPUR</t>
  </si>
  <si>
    <t>Nagpur</t>
  </si>
  <si>
    <t>440017</t>
  </si>
  <si>
    <t>7262942453</t>
  </si>
  <si>
    <t>MD626AK18M2F01386</t>
  </si>
  <si>
    <t>AK1EM2900054</t>
  </si>
  <si>
    <t>SCOOTY PEP PLUS BSVI</t>
  </si>
  <si>
    <t>TVS/1348</t>
  </si>
  <si>
    <t>RD904970019IN</t>
  </si>
  <si>
    <t>MH3018TW0072015</t>
  </si>
  <si>
    <t>Mr.SUNILSOPANJADHAV</t>
  </si>
  <si>
    <t>SOPAN</t>
  </si>
  <si>
    <t>S/D/O : SOPAN, HOUSE NO 0243/1284 HANUMAN NAGAR, FIZAR ROAD TURBHE, NEAR SANJIVANI KHAI MACHINE, NAVI MUMBAI THANE</t>
  </si>
  <si>
    <t>Thane</t>
  </si>
  <si>
    <t>400705</t>
  </si>
  <si>
    <t>8655164532</t>
  </si>
  <si>
    <t>MH43BL0428</t>
  </si>
  <si>
    <t>81424</t>
  </si>
  <si>
    <t>37209</t>
  </si>
  <si>
    <t>TVS/1349</t>
  </si>
  <si>
    <t>RD904970022IN</t>
  </si>
  <si>
    <t>MH3028TW0052599</t>
  </si>
  <si>
    <t>Mr.KETAN SANJAY ZINJURDE</t>
  </si>
  <si>
    <t>SANJAY</t>
  </si>
  <si>
    <t xml:space="preserve">S/D/O : SANJAY, BELPANDHARI, NEWASA, MARUTI MANDIR NR, </t>
  </si>
  <si>
    <t>Ahmed Nagar</t>
  </si>
  <si>
    <t>414603</t>
  </si>
  <si>
    <t>9359182179</t>
  </si>
  <si>
    <t>MH17CK3877</t>
  </si>
  <si>
    <t>MD625FF14K1K80413</t>
  </si>
  <si>
    <t>FF1KK1003625</t>
  </si>
  <si>
    <t>TVS/1350</t>
  </si>
  <si>
    <t>RD904970036IN</t>
  </si>
  <si>
    <t>MH3018TW0080318</t>
  </si>
  <si>
    <t>2018-11-14</t>
  </si>
  <si>
    <t>Mrs.YASHSHREE ANIL TAWRE</t>
  </si>
  <si>
    <t>ANIL</t>
  </si>
  <si>
    <t xml:space="preserve">S/D/O : ANIL, SR.NO 669, NAKSHTRA I LAND FLAT NO C 608, NR NAKSHTRA I LAND, </t>
  </si>
  <si>
    <t>412105</t>
  </si>
  <si>
    <t>8422061143</t>
  </si>
  <si>
    <t>MH14HF9844</t>
  </si>
  <si>
    <t>MD626EG49J1L04185</t>
  </si>
  <si>
    <t>DG4LJ14D7152</t>
  </si>
  <si>
    <t>JUPITER GRANDE DRUM</t>
  </si>
  <si>
    <t>TVS/1351</t>
  </si>
  <si>
    <t>RD904970040IN</t>
  </si>
  <si>
    <t>MH3029TW0067564</t>
  </si>
  <si>
    <t>2018-07-29</t>
  </si>
  <si>
    <t>Mr.AAKASHGANGADHARJONDHALE</t>
  </si>
  <si>
    <t>GANGADHAR</t>
  </si>
  <si>
    <t xml:space="preserve">S/D/O : GANGADHAR, PLOT NO 64 OLD NO 51588 SHRAVASTI, NAGAR NANDED, BUDDHA VIHAR, </t>
  </si>
  <si>
    <t>Nanded</t>
  </si>
  <si>
    <t>431602</t>
  </si>
  <si>
    <t>8483094569</t>
  </si>
  <si>
    <t>MH26BL2639</t>
  </si>
  <si>
    <t>MD626EG43H2F91072</t>
  </si>
  <si>
    <t>EG4FH2272498</t>
  </si>
  <si>
    <t>TVS/1352</t>
  </si>
  <si>
    <t>RD904970053IN</t>
  </si>
  <si>
    <t>MH3028TW0044898</t>
  </si>
  <si>
    <t>2018-10-20</t>
  </si>
  <si>
    <t>Mr.DNYANESHWAR HIRAMAN GARABADE</t>
  </si>
  <si>
    <t>HIRAMAN</t>
  </si>
  <si>
    <t xml:space="preserve">S/D/O : HIRAMAN, AT POST KELIGAVHAN, TAL BADNAPUR, DR AMBEDKAR STACHU, </t>
  </si>
  <si>
    <t>431202</t>
  </si>
  <si>
    <t>8855066045</t>
  </si>
  <si>
    <t>MH21BL2238</t>
  </si>
  <si>
    <t>MD625HF15J1LA3803</t>
  </si>
  <si>
    <t>KF1LJ15A8273</t>
  </si>
  <si>
    <t>TVS/1353</t>
  </si>
  <si>
    <t>RD904970067IN</t>
  </si>
  <si>
    <t>MH3028TW0059023</t>
  </si>
  <si>
    <t>Mr.ANANTISHWARJADHAV</t>
  </si>
  <si>
    <t>ISHWAR</t>
  </si>
  <si>
    <t>S/D/O : ISHWAR, TQ PAITHAN KRISHNAPUR, NEAR HANUMAN MANDIR, HANUMAN MANDIR, AURANGABAD</t>
  </si>
  <si>
    <t>431105</t>
  </si>
  <si>
    <t>8180937443</t>
  </si>
  <si>
    <t>MH20FX9325</t>
  </si>
  <si>
    <t>MD625AK22M1K05469</t>
  </si>
  <si>
    <t>CK2KM1X05430</t>
  </si>
  <si>
    <t>TVS/1354</t>
  </si>
  <si>
    <t>RD904970075IN</t>
  </si>
  <si>
    <t>MH3029TW0077435</t>
  </si>
  <si>
    <t>Mr.SANTOSH SHIVAJI GOINWAD</t>
  </si>
  <si>
    <t>SHIVAJI</t>
  </si>
  <si>
    <t xml:space="preserve">S/D/O : SHIVAJI, H.NO 360 AT.POST.GADGA, TQ.NAIGAON DIST.NANDED, NEAR MARAI DEVI TEMPLE, </t>
  </si>
  <si>
    <t>431715</t>
  </si>
  <si>
    <t>7483687801</t>
  </si>
  <si>
    <t>MH26BN7119</t>
  </si>
  <si>
    <t>MD625FF15J3K32373</t>
  </si>
  <si>
    <t>FF1HJ1289884</t>
  </si>
  <si>
    <t>STAR CITY 110 ES MAG REFRESH</t>
  </si>
  <si>
    <t>TVS/1355</t>
  </si>
  <si>
    <t>RD904970084IN</t>
  </si>
  <si>
    <t>MH3029TW0075332</t>
  </si>
  <si>
    <t>2019-01-08</t>
  </si>
  <si>
    <t>Mr.NILESH DEWAJI ZADE</t>
  </si>
  <si>
    <t>DEWAJI</t>
  </si>
  <si>
    <t xml:space="preserve">S/D/O : DEWAJI, AT-DHABA, TQH-GONDPIPRI, SHIVYADNYA KIRANA STORES, </t>
  </si>
  <si>
    <t>440012</t>
  </si>
  <si>
    <t>8805375549</t>
  </si>
  <si>
    <t>MH34BP3684</t>
  </si>
  <si>
    <t>MD625PF56J1K71087</t>
  </si>
  <si>
    <t>NF5KJ1190050</t>
  </si>
  <si>
    <t>TVS/1356</t>
  </si>
  <si>
    <t>RD904970098IN</t>
  </si>
  <si>
    <t>MH3028TW0054271</t>
  </si>
  <si>
    <t>Mrs.VIJAYA DNYANESHWAR JADHAV</t>
  </si>
  <si>
    <t>DNYANESHWAR</t>
  </si>
  <si>
    <t>S/D/O : DNYANESHWAR, SANTOSH TRADERS MAIN ROAD, BHIMNAGAR BHAVSINGPURA, SANTOSH TRADERS, AURANGABAD</t>
  </si>
  <si>
    <t>8329573745</t>
  </si>
  <si>
    <t>MH20FQ8612</t>
  </si>
  <si>
    <t>MD626EG51L1H03168</t>
  </si>
  <si>
    <t>GG5HL1302859</t>
  </si>
  <si>
    <t>TVS/1357</t>
  </si>
  <si>
    <t>RD904970107IN</t>
  </si>
  <si>
    <t>MH3028TW0048876</t>
  </si>
  <si>
    <t>2019-04-09</t>
  </si>
  <si>
    <t>Mr.RAVINDRA SARJERAV PATOLE</t>
  </si>
  <si>
    <t>SARJERAV PATOLE</t>
  </si>
  <si>
    <t xml:space="preserve">S/D/O : SARJERAV PATOLE, AT-JOGESHWARI, TQ-GANGAPUR, NEAR ANAND BUDHA VIHAR, </t>
  </si>
  <si>
    <t>431136</t>
  </si>
  <si>
    <t>9850250727</t>
  </si>
  <si>
    <t>MH20FH0436</t>
  </si>
  <si>
    <t>MD625FF1XK1C05394</t>
  </si>
  <si>
    <t>FF1CK1606438</t>
  </si>
  <si>
    <t>TVS/1358</t>
  </si>
  <si>
    <t>RD904970115IN</t>
  </si>
  <si>
    <t>MH3061TW0029982</t>
  </si>
  <si>
    <t>Mr.RAHUL RAJU GHATAGE</t>
  </si>
  <si>
    <t>RAJU</t>
  </si>
  <si>
    <t xml:space="preserve">S/D/O : RAJU, 1750/2 ANNA BHAU SATHE CHOWK RUKADI, TAL HATKANGALE, NEAR ANNA BHAU SATHE CHOWK, </t>
  </si>
  <si>
    <t>Kolhapur</t>
  </si>
  <si>
    <t>416115</t>
  </si>
  <si>
    <t>7057914283</t>
  </si>
  <si>
    <t>MH09FM4535</t>
  </si>
  <si>
    <t>MD626EG44K1N20186</t>
  </si>
  <si>
    <t>DG4NK1011221</t>
  </si>
  <si>
    <t>TVS/1359</t>
  </si>
  <si>
    <t>RD904970124IN</t>
  </si>
  <si>
    <t>MH3061TW0031159</t>
  </si>
  <si>
    <t>2020-08-24</t>
  </si>
  <si>
    <t>Mr.SANKET MAHESH THOKE</t>
  </si>
  <si>
    <t>MAHESH</t>
  </si>
  <si>
    <t>S/D/O : MAHESH, 6/196 MANGALWAR PETH CHOUNDESHWARI CORNAR ICHALKAR, TAL HATKANANGLE, NE MANGALWAR PETH CHOUNDESHWARI CORNAR, DIST KOLHAPUR</t>
  </si>
  <si>
    <t>9422044782</t>
  </si>
  <si>
    <t>MH09FP5445</t>
  </si>
  <si>
    <t>MD626CG55L1G26132</t>
  </si>
  <si>
    <t>DG5GL1005071</t>
  </si>
  <si>
    <t>TVS/1360</t>
  </si>
  <si>
    <t>RD904970138IN</t>
  </si>
  <si>
    <t>MH3061TW0025343</t>
  </si>
  <si>
    <t>2019-05-09</t>
  </si>
  <si>
    <t>Mr.JAINATH GOVIND NIKAM</t>
  </si>
  <si>
    <t>GOVIND</t>
  </si>
  <si>
    <t xml:space="preserve">S/D/O : GOVIND, H NO 170 A/P.SUKATA TQ BHOOM, DIST OSMANABAD, NR WATER TANK, </t>
  </si>
  <si>
    <t>Osmanabad</t>
  </si>
  <si>
    <t>413504</t>
  </si>
  <si>
    <t>9309591036</t>
  </si>
  <si>
    <t>MH25AQ2040</t>
  </si>
  <si>
    <t>MD625GF13K1C00849</t>
  </si>
  <si>
    <t>LF1CK1400815</t>
  </si>
  <si>
    <t>TVS/1361</t>
  </si>
  <si>
    <t>RD904970141IN</t>
  </si>
  <si>
    <t>MH3029TW0080253</t>
  </si>
  <si>
    <t>2019-06-26</t>
  </si>
  <si>
    <t>Mrs.VANDANA PRAMOD KHANORKAR</t>
  </si>
  <si>
    <t>PRAMOD</t>
  </si>
  <si>
    <t xml:space="preserve">S/D/O : PRAMOD, 12 MANEWADA ROAD KETAN APP, PARVATI NAGAR, RMS COLLONY, </t>
  </si>
  <si>
    <t>440027</t>
  </si>
  <si>
    <t>7030562692</t>
  </si>
  <si>
    <t>MH49BG4197</t>
  </si>
  <si>
    <t>MD626EG45K1F16084</t>
  </si>
  <si>
    <t>DG4FK1208402</t>
  </si>
  <si>
    <t>TVS/1362</t>
  </si>
  <si>
    <t>RD904970155IN</t>
  </si>
  <si>
    <t>MH3018TW0081648</t>
  </si>
  <si>
    <t>2019-01-29</t>
  </si>
  <si>
    <t>Mr.SAGAR VITTHAL NETKE</t>
  </si>
  <si>
    <t>VITTHAL</t>
  </si>
  <si>
    <t xml:space="preserve">S/D/O : VITTHAL, AT KIWALE GAONTHAN, POST DEHURAOD  NETKE WASTI, MARATHI SCHOOL, </t>
  </si>
  <si>
    <t>412101</t>
  </si>
  <si>
    <t>9119439980</t>
  </si>
  <si>
    <t>MH14HJ9118</t>
  </si>
  <si>
    <t>MD626EG46K1AL3963</t>
  </si>
  <si>
    <t>DG4AK19L1926</t>
  </si>
  <si>
    <t>TVS/1363</t>
  </si>
  <si>
    <t>RD904970169IN</t>
  </si>
  <si>
    <t>MH3061TW0017525</t>
  </si>
  <si>
    <t>2018-07-31</t>
  </si>
  <si>
    <t>Mr.LADLESABISMAILBAGWAN</t>
  </si>
  <si>
    <t>S/D/O : ISMAIL, H O 9 S NO 11/1 KHINDWADI, SATARA, NR KARMVEER CHOWK, SATARA</t>
  </si>
  <si>
    <t>Satara</t>
  </si>
  <si>
    <t>415002</t>
  </si>
  <si>
    <t>9665355064</t>
  </si>
  <si>
    <t>MH11CP8367</t>
  </si>
  <si>
    <t>MD625GF18J1F36222</t>
  </si>
  <si>
    <t>LF1FJ1920852</t>
  </si>
  <si>
    <t>TVS/1364</t>
  </si>
  <si>
    <t>RD904970172IN</t>
  </si>
  <si>
    <t>MH3061TW0020797</t>
  </si>
  <si>
    <t>2018-11-17</t>
  </si>
  <si>
    <t>Mr.KAMLADEVI EKNATH LOHAR</t>
  </si>
  <si>
    <t>EKANATH</t>
  </si>
  <si>
    <t xml:space="preserve">S/D/O : EKANATH, 290, LAXMI SADAN BUILDING, A/P- DHEBEWADI, NER MORE KIRANA STORE, </t>
  </si>
  <si>
    <t>415112</t>
  </si>
  <si>
    <t>7378955936</t>
  </si>
  <si>
    <t>MH50Q3258</t>
  </si>
  <si>
    <t>MD625PF54J1E27839</t>
  </si>
  <si>
    <t>PF5EJ1712523</t>
  </si>
  <si>
    <t>TVS/1365</t>
  </si>
  <si>
    <t>RD904970186IN</t>
  </si>
  <si>
    <t>GO3086TW0002719</t>
  </si>
  <si>
    <t>Goa</t>
  </si>
  <si>
    <t>Mrs.LINA KAVLEKAR</t>
  </si>
  <si>
    <t>DEVIDAS KAVLEKAR</t>
  </si>
  <si>
    <t xml:space="preserve">S/D/O : DEVIDAS KAVLEKAR, H.NO 1594 /1 , NR POLICE STATION FARMAGUDI PONDA G, , NR FARAMGUDI POLICE STATION, </t>
  </si>
  <si>
    <t>North Goa</t>
  </si>
  <si>
    <t>403401</t>
  </si>
  <si>
    <t>9923247789</t>
  </si>
  <si>
    <t>GA05N8388</t>
  </si>
  <si>
    <t>MD626EG46J1F49884</t>
  </si>
  <si>
    <t>EG4FJ1X32247</t>
  </si>
  <si>
    <t>TVS/1366</t>
  </si>
  <si>
    <t>RD904970190IN</t>
  </si>
  <si>
    <t>MH3061TW0021774</t>
  </si>
  <si>
    <t>2018-11-29</t>
  </si>
  <si>
    <t>Mr.BHARAT BALU PATIL</t>
  </si>
  <si>
    <t>BALU PATIL</t>
  </si>
  <si>
    <t xml:space="preserve">S/D/O : BALU PATIL, AT POST TRIPUDI, TAL PATAN GAVATHAN, NER CHANDIKA DEVI MANDIR, </t>
  </si>
  <si>
    <t>415206</t>
  </si>
  <si>
    <t>7350338571</t>
  </si>
  <si>
    <t>MH50Q3914</t>
  </si>
  <si>
    <t>MD626EG42J1LE8265</t>
  </si>
  <si>
    <t>DG4LJ19B9238</t>
  </si>
  <si>
    <t>TVS/1367</t>
  </si>
  <si>
    <t>RD904970209IN</t>
  </si>
  <si>
    <t>MH3061TW0032607</t>
  </si>
  <si>
    <t>Mr.BALVANT VYANKAT SHINDE</t>
  </si>
  <si>
    <t>VYANKAT</t>
  </si>
  <si>
    <t xml:space="preserve">S/D/O : VYANKAT, AT POST MALKARANJA, TQ KALLAMB DIST OSMANABAD, MANDIR MARUTI, </t>
  </si>
  <si>
    <t>413507</t>
  </si>
  <si>
    <t>9359759099</t>
  </si>
  <si>
    <t>MH25AT7018</t>
  </si>
  <si>
    <t>MD625AK20L1L07741</t>
  </si>
  <si>
    <t>CK2LL1909783</t>
  </si>
  <si>
    <t>TVS/1368</t>
  </si>
  <si>
    <t>RD904970212IN</t>
  </si>
  <si>
    <t>MH3061TW0029577</t>
  </si>
  <si>
    <t>2019-12-27</t>
  </si>
  <si>
    <t>Mr.TANAJI MARUTI SONULE</t>
  </si>
  <si>
    <t>MARUTI</t>
  </si>
  <si>
    <t xml:space="preserve">S/D/O : MARUTI, H NO 566 YADRAV  NR INDIRA COLONY, TAL SHIROL, NE INDIRA COLONY, </t>
  </si>
  <si>
    <t>416146</t>
  </si>
  <si>
    <t>7798987102</t>
  </si>
  <si>
    <t>MH09FK8920</t>
  </si>
  <si>
    <t>MD625GF10H1F26391</t>
  </si>
  <si>
    <t>GF1FH1X26454</t>
  </si>
  <si>
    <t>TVS/1369</t>
  </si>
  <si>
    <t>RD904970226IN</t>
  </si>
  <si>
    <t>MH3061TW0023705</t>
  </si>
  <si>
    <t>2019-03-18</t>
  </si>
  <si>
    <t>Mr.HASAN MALIK TAMBOLI</t>
  </si>
  <si>
    <t>MALIK</t>
  </si>
  <si>
    <t xml:space="preserve">S/D/O : MALIK, VATSALA NAGAR, ANDUR, TALUKA.TULJAPUR, MASJID, </t>
  </si>
  <si>
    <t>413603</t>
  </si>
  <si>
    <t>8669582775</t>
  </si>
  <si>
    <t>MH25AQ1079</t>
  </si>
  <si>
    <t>MD621EP18K1AL9994</t>
  </si>
  <si>
    <t>CP1AK18M0004</t>
  </si>
  <si>
    <t>TVS/1370</t>
  </si>
  <si>
    <t>RD904970230IN</t>
  </si>
  <si>
    <t>MH3061TW0036120</t>
  </si>
  <si>
    <t>2021-11-16</t>
  </si>
  <si>
    <t>Mr.UMESHSANTOSHKAMBLE</t>
  </si>
  <si>
    <t>SANTOSH</t>
  </si>
  <si>
    <t>S/D/O : SANTOSH, AMBEDKAR GALLI, AT POST/TA CHANDGAD, CHANDGAD, KOL, MAHARASGTRA, NEAR SAMAJ MANDIR, TAL CHANDGAD DIST KOLHAPUR</t>
  </si>
  <si>
    <t>416509</t>
  </si>
  <si>
    <t>7385166731</t>
  </si>
  <si>
    <t>MH09FX3485</t>
  </si>
  <si>
    <t>MD626EG55M1K01083</t>
  </si>
  <si>
    <t>GG5KM1X00998</t>
  </si>
  <si>
    <t>TVS/1371</t>
  </si>
  <si>
    <t>RD904970243IN</t>
  </si>
  <si>
    <t>MH3061TW0007895</t>
  </si>
  <si>
    <t>2017-08-21</t>
  </si>
  <si>
    <t>Mr.AVINASHVINAYAKSOMA</t>
  </si>
  <si>
    <t>S/D/O : VINAYAK, C/O GADDAM P NO 111, H GROUP VIDI GHARKUL, NEAR POGUL VIHIR, HYD ROAD SOLAPUR</t>
  </si>
  <si>
    <t>Solapur</t>
  </si>
  <si>
    <t>413005</t>
  </si>
  <si>
    <t>9860130230</t>
  </si>
  <si>
    <t>MH13CV9901</t>
  </si>
  <si>
    <t>MD626AG31H2G57754</t>
  </si>
  <si>
    <t>AG3GH2055893</t>
  </si>
  <si>
    <t>TVS SCOOTY PEP PLUS</t>
  </si>
  <si>
    <t>TVS/1372</t>
  </si>
  <si>
    <t>RD904970257IN</t>
  </si>
  <si>
    <t>MH3061TW0026850</t>
  </si>
  <si>
    <t>2019-07-20</t>
  </si>
  <si>
    <t>Mr.SWAPNIL RAJENDRA SURVE</t>
  </si>
  <si>
    <t xml:space="preserve">S/D/O : RAJENDRA, AP-BURUMTALI, SHAUKAT KASKAR CHAL ROOM NO.08 C/O, SHAUKA TAL-CHIPLUN, BEHIND BHAI GUJAR, </t>
  </si>
  <si>
    <t>Ratnagiri</t>
  </si>
  <si>
    <t>415605</t>
  </si>
  <si>
    <t>7588547645</t>
  </si>
  <si>
    <t>MH08AU7034</t>
  </si>
  <si>
    <t>MD626EG42K1G07717</t>
  </si>
  <si>
    <t>DG4GK1203703</t>
  </si>
  <si>
    <t>TVS/1373</t>
  </si>
  <si>
    <t>RD904970265IN</t>
  </si>
  <si>
    <t>MH3061TW0031260</t>
  </si>
  <si>
    <t>2020-08-30</t>
  </si>
  <si>
    <t>Mr.SWARAJ RAJENDRA TADAKHE</t>
  </si>
  <si>
    <t xml:space="preserve">S/D/O : RAJENDRA, 182 SHANIWAR PETH, TAL KARAD DIST SATARA, BHD BHAURAO PUTLYACHYA PATH IMAGE, </t>
  </si>
  <si>
    <t>415110</t>
  </si>
  <si>
    <t>8411062201</t>
  </si>
  <si>
    <t>MH50R9456</t>
  </si>
  <si>
    <t>MD626AK30L2G03619</t>
  </si>
  <si>
    <t>AK3GL2403289</t>
  </si>
  <si>
    <t>TVS/1374</t>
  </si>
  <si>
    <t>RD904970274IN</t>
  </si>
  <si>
    <t>MH3028TW0027400</t>
  </si>
  <si>
    <t>2016-04-23</t>
  </si>
  <si>
    <t>Mr.RAFIKKARIMSAYYAD</t>
  </si>
  <si>
    <t>KARIM</t>
  </si>
  <si>
    <t>S/D/O : KARIM, 28 SOUTH SADAR BAZAR, SOUTH SOLAPUR BEHIND ALIM ABBASE, BEHIND SAYYED BUKHARI DARGA, MARRAGE HALL SOLAPUR</t>
  </si>
  <si>
    <t>413003</t>
  </si>
  <si>
    <t>9146666265</t>
  </si>
  <si>
    <t>MH13CG7482</t>
  </si>
  <si>
    <t>MD625MF13G1C14014</t>
  </si>
  <si>
    <t>EF1CG1014171</t>
  </si>
  <si>
    <t>TVS/1375</t>
  </si>
  <si>
    <t>RD904970288IN</t>
  </si>
  <si>
    <t>MH3018AL0002588</t>
  </si>
  <si>
    <t>2020-02-12</t>
  </si>
  <si>
    <t>Mrs.GAYATRISHRIKANTPAWAR</t>
  </si>
  <si>
    <t>SHRIKANT</t>
  </si>
  <si>
    <t>S/D/O : SHRIKANT, DATIR PATIL COLONY RAM NAGAR, BH ASHOK PROVISION STORE CHINCHWAD, NR ASHOK PROVISION STORE, PUNE</t>
  </si>
  <si>
    <t>411019</t>
  </si>
  <si>
    <t>9075524389</t>
  </si>
  <si>
    <t>MD6M14CAXL4A00039</t>
  </si>
  <si>
    <t>AK4AL4X06723</t>
  </si>
  <si>
    <t>TVS KING CNG 4S ZS</t>
  </si>
  <si>
    <t>TVS/1376</t>
  </si>
  <si>
    <t>RD904970291IN</t>
  </si>
  <si>
    <t>MH3018AL0001036</t>
  </si>
  <si>
    <t>2018-08-28</t>
  </si>
  <si>
    <t>Mr.SANTOSHGANGARAMDUDHALE</t>
  </si>
  <si>
    <t>GANGARAM</t>
  </si>
  <si>
    <t>S/D/O : GANGARAM, SR NO 58 JADHAV WASTI, HADAPSAR RAILWAY STATION, OPP MANJUDA BEER SHOP, GROUND FLOOR ROOM NO 1</t>
  </si>
  <si>
    <t>411036</t>
  </si>
  <si>
    <t>9158859516</t>
  </si>
  <si>
    <t>MH12QR1959</t>
  </si>
  <si>
    <t>MD6M14CA7J4H06608</t>
  </si>
  <si>
    <t>AK4HJ4859716</t>
  </si>
  <si>
    <t>TVS/1377</t>
  </si>
  <si>
    <t>RD904970305IN</t>
  </si>
  <si>
    <t>MH3018AL0002249</t>
  </si>
  <si>
    <t>2019-10-16</t>
  </si>
  <si>
    <t>Mr.LAKHANGAUTAMMISALE</t>
  </si>
  <si>
    <t>GAUTAM</t>
  </si>
  <si>
    <t>S/D/O : GAUTAM, C/O SHRIMATI DHAVLE MEERA DATTATRAY, SR NO 75 FLAT NO 01 DHAVLE NIWAS, NR HANUMAN COLOY, DIGHI PUNE</t>
  </si>
  <si>
    <t>MH14HM4721</t>
  </si>
  <si>
    <t>MD6M14CA5K4K00578</t>
  </si>
  <si>
    <t>AK4KK4213731</t>
  </si>
  <si>
    <t>TVS/1378</t>
  </si>
  <si>
    <t>RD904970314IN</t>
  </si>
  <si>
    <t>MH3028TW0037805</t>
  </si>
  <si>
    <t>Mr.DEEPAKCHANDRASHEKHARKUNDALWAL</t>
  </si>
  <si>
    <t>CHANDRASHEKHAR</t>
  </si>
  <si>
    <t>S/D/O : CHANDRASHEKHAR, H NO 5-13-48 LAXMIWADI, PADAMPURA, OPP HANUMAN TEMPLE, AURANGABAD</t>
  </si>
  <si>
    <t>MH20ET0421</t>
  </si>
  <si>
    <t>MD625FF13H1K96269</t>
  </si>
  <si>
    <t>FF1KH1825344</t>
  </si>
  <si>
    <t>TVS/1379</t>
  </si>
  <si>
    <t>RD904970328IN</t>
  </si>
  <si>
    <t>MH3029TW0088910</t>
  </si>
  <si>
    <t>Mr.SABERBEG AKBER MIRJA</t>
  </si>
  <si>
    <t>AKBER</t>
  </si>
  <si>
    <t>S/D/O : AKBER, AT POST. S. T. COLONY KINWAT, KINWAT, NR RAILWAY GATE, DIST. NANDED</t>
  </si>
  <si>
    <t>MH26BU6311</t>
  </si>
  <si>
    <t>MD626CG52L1C17621</t>
  </si>
  <si>
    <t>DG5CL1204804</t>
  </si>
  <si>
    <t>TVS/1380</t>
  </si>
  <si>
    <t>RD904970331IN</t>
  </si>
  <si>
    <t>MH3018AL0002651</t>
  </si>
  <si>
    <t>2020-02-27</t>
  </si>
  <si>
    <t>Mr.RANJITSURESHMANE</t>
  </si>
  <si>
    <t>S/D/O : SURESH, PATHARE WASTI NR TULJA BHAWANI MANDIR, KADAMWAK WASTI LONI KALBHOR, PYASA HOTEL, PUNE</t>
  </si>
  <si>
    <t>MH12SK2654</t>
  </si>
  <si>
    <t>MD6M14CA9L4A00002</t>
  </si>
  <si>
    <t>AK4AL45M1149</t>
  </si>
  <si>
    <t>TVS/1381</t>
  </si>
  <si>
    <t>RD904970345IN</t>
  </si>
  <si>
    <t>MH3061TW0025138</t>
  </si>
  <si>
    <t>Mr.SUDHAKAR SHAMRAO PAWAR</t>
  </si>
  <si>
    <t>SHAMRAO</t>
  </si>
  <si>
    <t xml:space="preserve">S/D/O : SHAMRAO, JADHAV GALLI, A/P-ANKOLI, JADHAV GALLI, </t>
  </si>
  <si>
    <t>MH13DG6110</t>
  </si>
  <si>
    <t>MD625FF19J3L46943</t>
  </si>
  <si>
    <t>FF1LJ11A6673</t>
  </si>
  <si>
    <t>TVS/1382</t>
  </si>
  <si>
    <t>RD904970359IN</t>
  </si>
  <si>
    <t>MH3018TW0090545</t>
  </si>
  <si>
    <t>2020-12-18</t>
  </si>
  <si>
    <t>Mrs.ISHWARI BALRAM CHOUDHARY</t>
  </si>
  <si>
    <t>BALRAM</t>
  </si>
  <si>
    <t>S/D/O : BALRAM, W/O BALRAM CHOUDHRI, RAVET KIWALE, NEAR TULJABHAVANI TEMPLE, MAHARASHTRA</t>
  </si>
  <si>
    <t>MH14JJ9805</t>
  </si>
  <si>
    <t>MD626CG52L1L47962</t>
  </si>
  <si>
    <t>DG5LL1612589</t>
  </si>
  <si>
    <t>TVS/1383</t>
  </si>
  <si>
    <t>RD904970362IN</t>
  </si>
  <si>
    <t>GO3086TW0006048</t>
  </si>
  <si>
    <t>2021-11-27</t>
  </si>
  <si>
    <t>Mr.GOLUKUMAR</t>
  </si>
  <si>
    <t>MAHESH MUKHIYA</t>
  </si>
  <si>
    <t xml:space="preserve">S/D/O : MAHESH MUKHIYA, AMRUTLAL SHABILAL  SINGH HNO:- 665/3 ROOM NO :-10 , BHAIL BORDEM BICHOLIM NORTH GOA, NEAR WATER TANK, </t>
  </si>
  <si>
    <t>GA04P5370</t>
  </si>
  <si>
    <t>MD626CG56M1L24721</t>
  </si>
  <si>
    <t>EG5LM1701713</t>
  </si>
  <si>
    <t>TVS/1384</t>
  </si>
  <si>
    <t>RD904970376IN</t>
  </si>
  <si>
    <t>MH3061TW0023513</t>
  </si>
  <si>
    <t>Mr.GAUTAM NARAYAN GHONGADE</t>
  </si>
  <si>
    <t>NARAYAN</t>
  </si>
  <si>
    <t xml:space="preserve">S/D/O : NARAYAN, SHEJBABHULGAON KAMATI KHURD, TAL MOHAL, HANUMAN TEMLPLE, </t>
  </si>
  <si>
    <t>MH13DF7793</t>
  </si>
  <si>
    <t>MD625HF11J1P06889</t>
  </si>
  <si>
    <t>KF1PJ1006878</t>
  </si>
  <si>
    <t>TVS/1385</t>
  </si>
  <si>
    <t>RD904970380IN</t>
  </si>
  <si>
    <t>MH3029TW0095576</t>
  </si>
  <si>
    <t>2021-08-17</t>
  </si>
  <si>
    <t>Mr.GANESHREHURATHOD</t>
  </si>
  <si>
    <t>REHU</t>
  </si>
  <si>
    <t xml:space="preserve">S/D/O : REHU, AT HALDA TANDA POST HALDA, TQ KANDHAR DIST NANDED, NEAR HANUMAN MANDIR, </t>
  </si>
  <si>
    <t>MH26BZ4631</t>
  </si>
  <si>
    <t>MD625BK20M1F00269</t>
  </si>
  <si>
    <t>BK2FM1500160</t>
  </si>
  <si>
    <t>TVS/1386</t>
  </si>
  <si>
    <t>RD904970393IN</t>
  </si>
  <si>
    <t>MH3018AL0002129</t>
  </si>
  <si>
    <t>2019-08-31</t>
  </si>
  <si>
    <t>Mr.SANJAYVISHNUPAWALE</t>
  </si>
  <si>
    <t>VISHNU</t>
  </si>
  <si>
    <t xml:space="preserve">S/D/O : VISHNU, SR NO 13 TADIWALA ROAD NR  RAMESH, MEDICAL GALLI NO 17 PUNE, MILIND BUDDHA VIHAR, </t>
  </si>
  <si>
    <t>MH12RP4845</t>
  </si>
  <si>
    <t>MD6M14CL5K4E00123</t>
  </si>
  <si>
    <t>0L4EK4400232</t>
  </si>
  <si>
    <t>TVS KING DURAMAX 4S CNG ZD</t>
  </si>
  <si>
    <t>TVS/1387</t>
  </si>
  <si>
    <t>RD904970402IN</t>
  </si>
  <si>
    <t>MH3029TW0087305</t>
  </si>
  <si>
    <t>2020-05-20</t>
  </si>
  <si>
    <t>Mr.PRAFUL SHAMRAO SHERKI</t>
  </si>
  <si>
    <t>S/D/O : SHAMRAO, AT MURSA POST SAKHARWAHI, TAL BHADRAWATI, DR BABASAHEB AMBEDKAR VIDYALAY, DIST CHANDRAPUR</t>
  </si>
  <si>
    <t>Chandrapur</t>
  </si>
  <si>
    <t>MH34BU1993</t>
  </si>
  <si>
    <t>MD625HF12L1A00729</t>
  </si>
  <si>
    <t>KF1AL1600909</t>
  </si>
  <si>
    <t>TVS/1388</t>
  </si>
  <si>
    <t>RD904970416IN</t>
  </si>
  <si>
    <t>MH3028TW0047627</t>
  </si>
  <si>
    <t>Mr.RAHUL VISHWNATH MORE</t>
  </si>
  <si>
    <t>VISHWANATH</t>
  </si>
  <si>
    <t xml:space="preserve">S/D/O : VISHWANATH, FLAT NO 13 GUT NO 26/1, SAFFRON RESIDENCY  HIMAYAT  NAGAR HARSOOL, BOON SCHOOL, </t>
  </si>
  <si>
    <t>MH20FE0343</t>
  </si>
  <si>
    <t>MD626EG4XJ1N42451</t>
  </si>
  <si>
    <t>DG4NJ1318923</t>
  </si>
  <si>
    <t>TVS/1389</t>
  </si>
  <si>
    <t>RD904970420IN</t>
  </si>
  <si>
    <t>OR3051UT0010088</t>
  </si>
  <si>
    <t>Odisha</t>
  </si>
  <si>
    <t>2021-08-21</t>
  </si>
  <si>
    <t>Mr.BHIMASEN  MAJHI</t>
  </si>
  <si>
    <t>KALANDI MAJHI</t>
  </si>
  <si>
    <t>S/D/O : KALANDI MAJHI, NAURIAPOKHARI SAHAPUR, PIRAHAT BAZAR TIHIDI, NR NAURI  APOKHARI PRY SCHOOL, BHADRAK</t>
  </si>
  <si>
    <t>756131</t>
  </si>
  <si>
    <t>od</t>
  </si>
  <si>
    <t>7894361457</t>
  </si>
  <si>
    <t>OD22E9245</t>
  </si>
  <si>
    <t>MD621BD1XG1C19374</t>
  </si>
  <si>
    <t>OD1CG1849101</t>
  </si>
  <si>
    <t>TVS/1390</t>
  </si>
  <si>
    <t>RD904970433IN</t>
  </si>
  <si>
    <t>OR3051TW0135398</t>
  </si>
  <si>
    <t>Mr.KAILAS NAIK</t>
  </si>
  <si>
    <t>RAMESH NAIK</t>
  </si>
  <si>
    <t>S/D/O : RAMESH NAIK, HANUMANTA, CHADEYAPALLI, UP SCHOOL, NAYAGARH</t>
  </si>
  <si>
    <t>Nayagarh</t>
  </si>
  <si>
    <t>752089</t>
  </si>
  <si>
    <t>6378927019</t>
  </si>
  <si>
    <t>OD25K2958</t>
  </si>
  <si>
    <t>MD634AE87L2A05626</t>
  </si>
  <si>
    <t>AE8AL2106963</t>
  </si>
  <si>
    <t>TVS/1391</t>
  </si>
  <si>
    <t>RD904970447IN</t>
  </si>
  <si>
    <t>OR3051TW0118623</t>
  </si>
  <si>
    <t>2019-03-31</t>
  </si>
  <si>
    <t>Mr.AJIT PATRA</t>
  </si>
  <si>
    <t>FAKIR PATRA</t>
  </si>
  <si>
    <t xml:space="preserve">S/D/O : FAKIR PATRA, DHIBAKOLELI, MANGALPUR, JAGANNATH TEMPLE, </t>
  </si>
  <si>
    <t>Jajapur</t>
  </si>
  <si>
    <t>755011</t>
  </si>
  <si>
    <t>8339836683</t>
  </si>
  <si>
    <t>OD34J9262</t>
  </si>
  <si>
    <t>MD621HP12K1C00955</t>
  </si>
  <si>
    <t>CP1CK1500883</t>
  </si>
  <si>
    <t>TVS/1392</t>
  </si>
  <si>
    <t>RD904970455IN</t>
  </si>
  <si>
    <t>OR3051TW0134786</t>
  </si>
  <si>
    <t>2020-02-13</t>
  </si>
  <si>
    <t>Mr.SANIBHAJAL SETHY</t>
  </si>
  <si>
    <t>BASANT SETHY</t>
  </si>
  <si>
    <t>S/D/O : BASANT SETHY, BILABADI, PHULABANI, ELECTRIC POLL, KANDHAMAL</t>
  </si>
  <si>
    <t>Boudh</t>
  </si>
  <si>
    <t>762024</t>
  </si>
  <si>
    <t>6382189751</t>
  </si>
  <si>
    <t>OD27B7015</t>
  </si>
  <si>
    <t>MD621HP19K1H39007</t>
  </si>
  <si>
    <t>CP1HK1337422</t>
  </si>
  <si>
    <t>TVS/1393</t>
  </si>
  <si>
    <t>RD904970464IN</t>
  </si>
  <si>
    <t>OR3051TW0153456</t>
  </si>
  <si>
    <t>Mr.SAROJBEHERA</t>
  </si>
  <si>
    <t>HALADHAR BEHERA</t>
  </si>
  <si>
    <t>S/D/O : HALADHAR BEHERA, NEDIGURA, SUDRUKUMPA, BISIPADA, ELECTRIC POLL, KANDHAMAL</t>
  </si>
  <si>
    <t>Kandhamal</t>
  </si>
  <si>
    <t>762002</t>
  </si>
  <si>
    <t>7847807351</t>
  </si>
  <si>
    <t>OD27C5454</t>
  </si>
  <si>
    <t>MD634AE85M2K18363</t>
  </si>
  <si>
    <t>AE8KM2917557</t>
  </si>
  <si>
    <t>TVS/1394</t>
  </si>
  <si>
    <t>RD904970478IN</t>
  </si>
  <si>
    <t>OR3088TW0043528</t>
  </si>
  <si>
    <t>2020-09-10</t>
  </si>
  <si>
    <t>Mr.KARUNA  LUHA</t>
  </si>
  <si>
    <t>ASHOK   LUHA</t>
  </si>
  <si>
    <t>S/D/O : ASHOK   LUHA, AT-TALPALI....PO-RASANPUR, PS-SADAR, NR  MANDIR, SAMBALPUR</t>
  </si>
  <si>
    <t>Sambalpur</t>
  </si>
  <si>
    <t>768005</t>
  </si>
  <si>
    <t>7077816242</t>
  </si>
  <si>
    <t>OD15R2087</t>
  </si>
  <si>
    <t>MD626CG54L1F37359</t>
  </si>
  <si>
    <t>CG5FL1527657</t>
  </si>
  <si>
    <t>TVS/1395</t>
  </si>
  <si>
    <t>RD904970481IN</t>
  </si>
  <si>
    <t>OR3088TW0034466</t>
  </si>
  <si>
    <t>Mr.GAJENDRA SHA</t>
  </si>
  <si>
    <t>BHUJA SHA</t>
  </si>
  <si>
    <t xml:space="preserve">S/D/O : BHUJA SHA, AT-NEGIPALI, PO-DALGAON, NEAR HANUMAN TEMPLE, </t>
  </si>
  <si>
    <t>Jharsuguda</t>
  </si>
  <si>
    <t>768202</t>
  </si>
  <si>
    <t>7077080630</t>
  </si>
  <si>
    <t>OD23J3172</t>
  </si>
  <si>
    <t>MD625HF19K1D02369</t>
  </si>
  <si>
    <t>KF1DK1002600</t>
  </si>
  <si>
    <t>TVS/1396</t>
  </si>
  <si>
    <t>RD904970495IN</t>
  </si>
  <si>
    <t>OR3051TW0127094</t>
  </si>
  <si>
    <t>2019-09-18</t>
  </si>
  <si>
    <t>Mr.GUNANIDHI MOHANTY</t>
  </si>
  <si>
    <t>GHAN MOHANTY</t>
  </si>
  <si>
    <t xml:space="preserve">S/D/O : GHAN MOHANTY, BODASA, BODASA, NEAR TEMPLE, </t>
  </si>
  <si>
    <t>752077</t>
  </si>
  <si>
    <t>8658589705</t>
  </si>
  <si>
    <t>OD25J6749</t>
  </si>
  <si>
    <t>MD621HP13K1H11641</t>
  </si>
  <si>
    <t>CP1HK1908279</t>
  </si>
  <si>
    <t>TVS/1397</t>
  </si>
  <si>
    <t>RD904970504IN</t>
  </si>
  <si>
    <t>OR3088TW0032648</t>
  </si>
  <si>
    <t>2019-06-19</t>
  </si>
  <si>
    <t>Mr.BABULAL   CHHATRIA</t>
  </si>
  <si>
    <t>SHITAL   CHHATRIA</t>
  </si>
  <si>
    <t xml:space="preserve">S/D/O : SHITAL   CHHATRIA, AT-KHRISTIANPADA.....HIRAKUD, PO/PS-HIRAKUD, NR   CHURCH, </t>
  </si>
  <si>
    <t>768016</t>
  </si>
  <si>
    <t>7750834633</t>
  </si>
  <si>
    <t>OD15N6536</t>
  </si>
  <si>
    <t>MD634CE40K2E23341</t>
  </si>
  <si>
    <t>CE4EK2022640</t>
  </si>
  <si>
    <t>TVS/1398</t>
  </si>
  <si>
    <t>RD904970518IN</t>
  </si>
  <si>
    <t>OR3051TW0152170</t>
  </si>
  <si>
    <t>2021-10-10</t>
  </si>
  <si>
    <t>Mr.RAMESHCHANDRADAS</t>
  </si>
  <si>
    <t>RABINDRA DAS</t>
  </si>
  <si>
    <t>S/D/O : RABINDRA DAS, KAINFULIA PART, FATEGARH, NEAR BHAGABAT GHARA, NAYAGARH</t>
  </si>
  <si>
    <t>752063</t>
  </si>
  <si>
    <t>9337738454</t>
  </si>
  <si>
    <t>OD02BU1664</t>
  </si>
  <si>
    <t>MD621BP29M1H17954</t>
  </si>
  <si>
    <t>BP2HM1316861</t>
  </si>
  <si>
    <t>TVS XL 100 HD ITS BSVI - WINNER EDITION</t>
  </si>
  <si>
    <t>TVS/1399</t>
  </si>
  <si>
    <t>RD904970521IN</t>
  </si>
  <si>
    <t>OR3051TW0130547</t>
  </si>
  <si>
    <t>Mr.PRAMOD DAS</t>
  </si>
  <si>
    <t>DAYANIDHI DAS</t>
  </si>
  <si>
    <t xml:space="preserve">S/D/O : DAYANIDHI DAS, AT-THAURI, PO-THAURI, MADHUSAGAR VIDYAPITHA, </t>
  </si>
  <si>
    <t>Kendrapara</t>
  </si>
  <si>
    <t>754212</t>
  </si>
  <si>
    <t>8310955058</t>
  </si>
  <si>
    <t>OD29G5902</t>
  </si>
  <si>
    <t>MD634CE43K2L07581</t>
  </si>
  <si>
    <t>CE4LK2506960</t>
  </si>
  <si>
    <t>TVS/1400</t>
  </si>
  <si>
    <t>RD904970535IN</t>
  </si>
  <si>
    <t>OR3088TW0052378</t>
  </si>
  <si>
    <t>Mr.JANMEJAYMEHER</t>
  </si>
  <si>
    <t>RUSHABH MEHER</t>
  </si>
  <si>
    <t>S/D/O : RUSHABH MEHER, AT/PO-BHALUMUNDA, PS-BANGOMUNDA, HIGH SCHOOL, DIST-BALANGIR</t>
  </si>
  <si>
    <t>Balangir</t>
  </si>
  <si>
    <t>767040</t>
  </si>
  <si>
    <t>7852927500</t>
  </si>
  <si>
    <t>OD03V0848</t>
  </si>
  <si>
    <t>MD621BP21M1G31926</t>
  </si>
  <si>
    <t>BP2GM1834319</t>
  </si>
  <si>
    <t>TVS/1401</t>
  </si>
  <si>
    <t>RD904970549IN</t>
  </si>
  <si>
    <t>OR3051TW0125817</t>
  </si>
  <si>
    <t>2019-08-20</t>
  </si>
  <si>
    <t>Mr.R PRABIN REDDY</t>
  </si>
  <si>
    <t>KURAMANI REDDY</t>
  </si>
  <si>
    <t xml:space="preserve">S/D/O : KURAMANI REDDY, BADA SAHI, AT/PO-BADAPALANKA, NEAR TO MANDAP, </t>
  </si>
  <si>
    <t>Ganjam</t>
  </si>
  <si>
    <t>761010</t>
  </si>
  <si>
    <t>8114705228</t>
  </si>
  <si>
    <t>OD07AC2039</t>
  </si>
  <si>
    <t>MD637CE79K2F03819</t>
  </si>
  <si>
    <t>CE7FK2X03768</t>
  </si>
  <si>
    <t>TVS/1402</t>
  </si>
  <si>
    <t>RD904970552IN</t>
  </si>
  <si>
    <t>OR3088TW0031481</t>
  </si>
  <si>
    <t>Mr.RANJAN RAJAHANSA</t>
  </si>
  <si>
    <t>KAPILA RAJAHANSA</t>
  </si>
  <si>
    <t xml:space="preserve">S/D/O : KAPILA RAJAHANSA, AT / PO - MADHAPUR, , NEAR SCHOOL, </t>
  </si>
  <si>
    <t>Angul</t>
  </si>
  <si>
    <t>759125</t>
  </si>
  <si>
    <t>9078288919</t>
  </si>
  <si>
    <t>OD27B2577</t>
  </si>
  <si>
    <t>MD621HP17K2C06812</t>
  </si>
  <si>
    <t>DP1CK2105834</t>
  </si>
  <si>
    <t>TVS/1403</t>
  </si>
  <si>
    <t>RD904970566IN</t>
  </si>
  <si>
    <t>OR3051TW0145087</t>
  </si>
  <si>
    <t>2020-12-24</t>
  </si>
  <si>
    <t>Miss.SASMITA BHOI</t>
  </si>
  <si>
    <t>DHRUBA BHOI</t>
  </si>
  <si>
    <t>S/D/O : DHRUBA BHOI, AT - NARENDRAKONA, PO - PURI, BISESWARI TEMPLE, PS - TOWN THANA</t>
  </si>
  <si>
    <t>Puri</t>
  </si>
  <si>
    <t>752001</t>
  </si>
  <si>
    <t>7205096662</t>
  </si>
  <si>
    <t>OD13P3814</t>
  </si>
  <si>
    <t>MD626CG58L1N45946</t>
  </si>
  <si>
    <t>DG5NL1817190</t>
  </si>
  <si>
    <t>TVS/1404</t>
  </si>
  <si>
    <t>RD904970570IN</t>
  </si>
  <si>
    <t>OR3051TW0132357</t>
  </si>
  <si>
    <t>2019-12-16</t>
  </si>
  <si>
    <t>Mr.DURGAPRASAD BISWAL</t>
  </si>
  <si>
    <t>DHANESWAR BISWAL</t>
  </si>
  <si>
    <t xml:space="preserve">S/D/O : DHANESWAR BISWAL, AT-JARIPADA, PO-URALI, JARIPADA UP SCHOOL, </t>
  </si>
  <si>
    <t>Cuttack</t>
  </si>
  <si>
    <t>753011</t>
  </si>
  <si>
    <t>7853819758</t>
  </si>
  <si>
    <t>OD05AU5577</t>
  </si>
  <si>
    <t>MD621HP18K1N16759</t>
  </si>
  <si>
    <t>CP1NK1220541</t>
  </si>
  <si>
    <t>TVS/1405</t>
  </si>
  <si>
    <t>RD904970583IN</t>
  </si>
  <si>
    <t>OR3051TW0133527</t>
  </si>
  <si>
    <t>Mr.AJAY BEHERA</t>
  </si>
  <si>
    <t>BHARAT BEHERA</t>
  </si>
  <si>
    <t xml:space="preserve">S/D/O : BHARAT BEHERA, AT-RAMABILI, PO/PS-JANKIA, NEAR MANGALA TEMPLE, </t>
  </si>
  <si>
    <t>Khorda</t>
  </si>
  <si>
    <t>752020</t>
  </si>
  <si>
    <t>9556037528</t>
  </si>
  <si>
    <t>OD02BJ5515</t>
  </si>
  <si>
    <t>MD621HP1XK1K03535</t>
  </si>
  <si>
    <t>CP1KK1103240</t>
  </si>
  <si>
    <t>TVS/1406</t>
  </si>
  <si>
    <t>RD904970597IN</t>
  </si>
  <si>
    <t>OR3051TW0092626</t>
  </si>
  <si>
    <t>2018-01-31</t>
  </si>
  <si>
    <t>Mr.KUSHAMALLIK</t>
  </si>
  <si>
    <t>SRIDHAR MALLIK</t>
  </si>
  <si>
    <t>S/D/O : SRIDHAR MALLIK, TALABANDHA, BINJHARPUR, NR TARINI TEMPLE, JAJPUR</t>
  </si>
  <si>
    <t>755004</t>
  </si>
  <si>
    <t>7894541253</t>
  </si>
  <si>
    <t>OD34F0912</t>
  </si>
  <si>
    <t>MD621EP11H2P58679</t>
  </si>
  <si>
    <t>DP1PH2038740</t>
  </si>
  <si>
    <t>TVS/1407</t>
  </si>
  <si>
    <t>RD904970606IN</t>
  </si>
  <si>
    <t>OR3088TW0039026</t>
  </si>
  <si>
    <t>Mr.RAJIB MAHANAND</t>
  </si>
  <si>
    <t>KANHU MAHANAND</t>
  </si>
  <si>
    <t xml:space="preserve">S/D/O : KANHU MAHANAND, DIMIRIJHULI, TUNDUMAL, NEAR MANDAP, </t>
  </si>
  <si>
    <t>762016</t>
  </si>
  <si>
    <t>8658103421</t>
  </si>
  <si>
    <t>OD27B6424</t>
  </si>
  <si>
    <t>MD634CE41K2E10355</t>
  </si>
  <si>
    <t>CE4EK2909939</t>
  </si>
  <si>
    <t>TVS/1408</t>
  </si>
  <si>
    <t>RD904970610IN</t>
  </si>
  <si>
    <t>OR3088TW0013790</t>
  </si>
  <si>
    <t>Mr.PANKAJBHOI</t>
  </si>
  <si>
    <t>GOPAL BHOI</t>
  </si>
  <si>
    <t>S/D/O : GOPAL BHOI, MANEIPAD, MUNDOMAHUL, NEAR DASAMATI MANDIR, PATNAGARH BOLANGIR</t>
  </si>
  <si>
    <t>767025</t>
  </si>
  <si>
    <t>9938374797</t>
  </si>
  <si>
    <t>OD03K8741</t>
  </si>
  <si>
    <t>MD625GF12H1N04311</t>
  </si>
  <si>
    <t>LF1LH1003539</t>
  </si>
  <si>
    <t>TVS/1409</t>
  </si>
  <si>
    <t>RD904970623IN</t>
  </si>
  <si>
    <t>OR3051TW0132797</t>
  </si>
  <si>
    <t>2019-12-25</t>
  </si>
  <si>
    <t>Mr.BANAMALI BEHERA</t>
  </si>
  <si>
    <t>SUDARSHAN BEHERA</t>
  </si>
  <si>
    <t xml:space="preserve">S/D/O : SUDARSHAN BEHERA, GIRIDIPALLI, GIRIDIPALLI, TRINATH TEMPLE, </t>
  </si>
  <si>
    <t>752090</t>
  </si>
  <si>
    <t>6372787360</t>
  </si>
  <si>
    <t>OD25K0650</t>
  </si>
  <si>
    <t>MD621HP14K1L56783</t>
  </si>
  <si>
    <t>CP1LK1822870</t>
  </si>
  <si>
    <t>TVS/1410</t>
  </si>
  <si>
    <t>RD904970637IN</t>
  </si>
  <si>
    <t>OR3051TW0136662</t>
  </si>
  <si>
    <t>2020-03-24</t>
  </si>
  <si>
    <t>Mr.BRUNDABAN MALIK</t>
  </si>
  <si>
    <t>BALARAM MALIK</t>
  </si>
  <si>
    <t>S/D/O : BALARAM MALIK, KOTAPUR, SANAKUANAL, NR MAHIMA ALEKA  TEMPLE, MANGALPUR JAJPUR</t>
  </si>
  <si>
    <t>9078175756</t>
  </si>
  <si>
    <t>OD34L7968</t>
  </si>
  <si>
    <t>MD625FF17K1F01862</t>
  </si>
  <si>
    <t>FF1FK1401873</t>
  </si>
  <si>
    <t>TVS/1411</t>
  </si>
  <si>
    <t>RD904970645IN</t>
  </si>
  <si>
    <t>OR3051AL0000052</t>
  </si>
  <si>
    <t>2017-02-04</t>
  </si>
  <si>
    <t>Mr.MD IMRANKHAN</t>
  </si>
  <si>
    <t>DILWAR KHAN</t>
  </si>
  <si>
    <t>S/D/O : DILWAR KHAN, BHUTTAPADA, SAMBAL SADAR, NR MASJID, SAMBALPUR</t>
  </si>
  <si>
    <t>768001</t>
  </si>
  <si>
    <t>7205755232</t>
  </si>
  <si>
    <t>OD15G8638</t>
  </si>
  <si>
    <t>MD6M1DSK4G4L12175</t>
  </si>
  <si>
    <t>R6J2814014</t>
  </si>
  <si>
    <t>TVS KING DIESEL</t>
  </si>
  <si>
    <t>TVS/1412</t>
  </si>
  <si>
    <t>RD904970654IN</t>
  </si>
  <si>
    <t>OR3051CA0002734</t>
  </si>
  <si>
    <t>Mrs.TAPASWINIPANIGRAHI</t>
  </si>
  <si>
    <t>TAPAS KUMAR PANIGRAHI</t>
  </si>
  <si>
    <t>S/D/O : TAPAS KUMAR PANIGRAHI, BAIKKUNTHAPUR, BRAHMANIGAON, NEAR HANUMAN MANDIR, BASUDEV PUR  BHADRAK</t>
  </si>
  <si>
    <t>Bhadrak</t>
  </si>
  <si>
    <t>756165</t>
  </si>
  <si>
    <t>9337049658</t>
  </si>
  <si>
    <t>OD01N9227</t>
  </si>
  <si>
    <t>MA3EVB11S01708628</t>
  </si>
  <si>
    <t>F8BIN4919662</t>
  </si>
  <si>
    <t>MARUTI SUZUKI OMNI 8 SEATER PETROL 2016</t>
  </si>
  <si>
    <t>TVS/1413</t>
  </si>
  <si>
    <t>RD904970668IN</t>
  </si>
  <si>
    <t>OR3051TW0139254</t>
  </si>
  <si>
    <t>2020-07-18</t>
  </si>
  <si>
    <t>Mr.BISHNU MALIK</t>
  </si>
  <si>
    <t>DURYODHAN MALIK</t>
  </si>
  <si>
    <t>S/D/O : DURYODHAN MALIK, AT-DARUORA, PO-ESWARAPUR, BUDHIMANGALA MANDIRA, PS-RAJNAGAR</t>
  </si>
  <si>
    <t>OD29H2041</t>
  </si>
  <si>
    <t>MD637DE59L2A01270</t>
  </si>
  <si>
    <t>DE5AL2301370</t>
  </si>
  <si>
    <t>TVS/1414</t>
  </si>
  <si>
    <t>RD904970671IN</t>
  </si>
  <si>
    <t>OR3088TW0035614</t>
  </si>
  <si>
    <t>2019-10-09</t>
  </si>
  <si>
    <t>Mr.SUSHIL   PRASAD   ROUT</t>
  </si>
  <si>
    <t>SHRABAN   RAUT</t>
  </si>
  <si>
    <t xml:space="preserve">S/D/O : SHRABAN   RAUT, AT-BRAGMANIPALI.....PO-MANESWAR, PS-SADAR, NR  STATION, </t>
  </si>
  <si>
    <t>OD15P2685</t>
  </si>
  <si>
    <t>MD634CE47K2G22743</t>
  </si>
  <si>
    <t>CE4GK2821590</t>
  </si>
  <si>
    <t>TVS/1415</t>
  </si>
  <si>
    <t>RD904970685IN</t>
  </si>
  <si>
    <t>OR3051TW0111894</t>
  </si>
  <si>
    <t>2018-12-05</t>
  </si>
  <si>
    <t>Mr.SHEKHASALAM</t>
  </si>
  <si>
    <t>SHEKH RABANI</t>
  </si>
  <si>
    <t>S/D/O : SHEKH RABANI, AIMADHOTI, MAHILO, NEAR MASZID, JAGATSINGHPUR</t>
  </si>
  <si>
    <t>Jagatsinghapur</t>
  </si>
  <si>
    <t>OD21H9990</t>
  </si>
  <si>
    <t>MD634BE48J2H35612</t>
  </si>
  <si>
    <t>BE4HJ2X34915</t>
  </si>
  <si>
    <t>TVS/1416</t>
  </si>
  <si>
    <t>RD904970699IN</t>
  </si>
  <si>
    <t>OR3051TW0114391</t>
  </si>
  <si>
    <t>2019-01-24</t>
  </si>
  <si>
    <t>Mr.RAJ KUMAR PATANAYAK</t>
  </si>
  <si>
    <t>SATYA NARAYAN NAYAK</t>
  </si>
  <si>
    <t xml:space="preserve">S/D/O : SATYA NARAYAN NAYAK, NARASINGHA PRASAD, ROHIBANK, NURUSINGHNATHA TEMPLE, </t>
  </si>
  <si>
    <t>OD25H5627</t>
  </si>
  <si>
    <t>MD634BE41J2N01759</t>
  </si>
  <si>
    <t>BE4NJ2101768</t>
  </si>
  <si>
    <t>TVS/1417</t>
  </si>
  <si>
    <t>RD904970708IN</t>
  </si>
  <si>
    <t>OR3088TW0029754</t>
  </si>
  <si>
    <t>2019-03-26</t>
  </si>
  <si>
    <t>Mr.SURENDRA NAIK</t>
  </si>
  <si>
    <t>BRAJABANDHU NAIK</t>
  </si>
  <si>
    <t xml:space="preserve">S/D/O : BRAJABANDHU NAIK, AT-JANGHIRA, PO-JANGHIRA, NEAR KIRTAN MANDAP, </t>
  </si>
  <si>
    <t>Kendujhar</t>
  </si>
  <si>
    <t>OD09N4777</t>
  </si>
  <si>
    <t>MD634BE49J2H42987</t>
  </si>
  <si>
    <t>BE4HJ2542101</t>
  </si>
  <si>
    <t>TVS/1418</t>
  </si>
  <si>
    <t>RD904970711IN</t>
  </si>
  <si>
    <t>OR3051TW0110574</t>
  </si>
  <si>
    <t>Mr.SOKATKHAN</t>
  </si>
  <si>
    <t>MATO KHAN</t>
  </si>
  <si>
    <t>S/D/O : MATO KHAN, MAHAMMAD NAGAR, NALIPUR, NR CHARINANGAL UP SCHOOL, JAJPUR</t>
  </si>
  <si>
    <t>OD04M3122</t>
  </si>
  <si>
    <t>MD625GF13J1D08709</t>
  </si>
  <si>
    <t>JF1CJ1603741</t>
  </si>
  <si>
    <t>TVS/1419</t>
  </si>
  <si>
    <t>RD904970725IN</t>
  </si>
  <si>
    <t>OR3051CA0003123</t>
  </si>
  <si>
    <t>2018-12-27</t>
  </si>
  <si>
    <t>Mr.AKHIL RANJANMOHANTY</t>
  </si>
  <si>
    <t>ABANTI KUMAR MOHANTY</t>
  </si>
  <si>
    <t>S/D/O : ABANTI KUMAR MOHANTY, MADAN MOHAN, NAGAR HANUMAN BAZAR, NEAR RADHA KRISHNA TEMPLE, BERHAMPUR GANJAM</t>
  </si>
  <si>
    <t>OD02AB4475</t>
  </si>
  <si>
    <t>MA3EWDE1S00A20350</t>
  </si>
  <si>
    <t>K10BN4797683</t>
  </si>
  <si>
    <t>MARUTI SUZUKI WAGON R VXI PETROL</t>
  </si>
  <si>
    <t>TVS/1420</t>
  </si>
  <si>
    <t>RD904970739IN</t>
  </si>
  <si>
    <t>OR3051TW0126961</t>
  </si>
  <si>
    <t>2019-09-16</t>
  </si>
  <si>
    <t>Miss.PUSPITA SUNDARAY</t>
  </si>
  <si>
    <t>GADADHAR SUNDARAY</t>
  </si>
  <si>
    <t xml:space="preserve">S/D/O : GADADHAR SUNDARAY, AT/PO-BRAJAMOHANPUR, PS-KHURDHA, UGME SCHOOL, </t>
  </si>
  <si>
    <t>OD05AS5619</t>
  </si>
  <si>
    <t>MD637CE79K2F07837</t>
  </si>
  <si>
    <t>CE7FK2807504</t>
  </si>
  <si>
    <t>TVS/1421</t>
  </si>
  <si>
    <t>RD904970742IN</t>
  </si>
  <si>
    <t>OR3051UT0009626</t>
  </si>
  <si>
    <t>2021-04-17</t>
  </si>
  <si>
    <t>Mr.LAXMIDHAR  SAHU</t>
  </si>
  <si>
    <t>KSHETRABASI SAHU</t>
  </si>
  <si>
    <t>S/D/O : KSHETRABASI SAHU, JALESWAR PUR, KUNDAPATNA DHARMASALA, NR KUNDAPATNA U P SCHOOL, JAJAPUR</t>
  </si>
  <si>
    <t>OD04H2304</t>
  </si>
  <si>
    <t>MD621BD12F1N14092</t>
  </si>
  <si>
    <t>OD1NF1714835</t>
  </si>
  <si>
    <t>TVS/1422</t>
  </si>
  <si>
    <t>RD904970756IN</t>
  </si>
  <si>
    <t>OR3051TW0129736</t>
  </si>
  <si>
    <t>2019-10-21</t>
  </si>
  <si>
    <t>Mr.PRABHAT PRADHAN</t>
  </si>
  <si>
    <t>DASARATHI PRADHAN</t>
  </si>
  <si>
    <t xml:space="preserve">S/D/O : DASARATHI PRADHAN, MANAPURPATANA, TANGI, NEAR KALUNI TEMPLE, </t>
  </si>
  <si>
    <t>OD25J6034</t>
  </si>
  <si>
    <t>MD634CE45K2G11901</t>
  </si>
  <si>
    <t>CE4GK2711717</t>
  </si>
  <si>
    <t>TVS/1423</t>
  </si>
  <si>
    <t>RD904970760IN</t>
  </si>
  <si>
    <t>OR3051TW0148393</t>
  </si>
  <si>
    <t>2021-04-22</t>
  </si>
  <si>
    <t>Mr.ACHYUTANANDMALIK</t>
  </si>
  <si>
    <t xml:space="preserve">S/D/O : BALARAM MALIK, AT- ITAMUNDALI, PO- HALADIA, ITAMUNDALI UP SCHOOL, </t>
  </si>
  <si>
    <t>MD621BP25L1P07465</t>
  </si>
  <si>
    <t>BP2PL1006969</t>
  </si>
  <si>
    <t>TVS/1424</t>
  </si>
  <si>
    <t>RD904970773IN</t>
  </si>
  <si>
    <t>PB3050TW0010385</t>
  </si>
  <si>
    <t>Punjab</t>
  </si>
  <si>
    <t>2018-06-18</t>
  </si>
  <si>
    <t>Mr.AMANDEEPSINGH</t>
  </si>
  <si>
    <t>SARABJIT SINGH</t>
  </si>
  <si>
    <t xml:space="preserve">S/D/O : SARABJIT SINGH, WARD NO 5 VILL MALLIAN, AMRITSAR, NR GOVT DISIPENCRY, </t>
  </si>
  <si>
    <t>Amritsar</t>
  </si>
  <si>
    <t>143149</t>
  </si>
  <si>
    <t>pa</t>
  </si>
  <si>
    <t>9878651505</t>
  </si>
  <si>
    <t>PB02DN9712</t>
  </si>
  <si>
    <t>MD626EG40J3B02309</t>
  </si>
  <si>
    <t>EG4AJ2618955</t>
  </si>
  <si>
    <t>TVS/1425</t>
  </si>
  <si>
    <t>RD904970787IN</t>
  </si>
  <si>
    <t>PB3050TW0009306</t>
  </si>
  <si>
    <t>2018-02-15</t>
  </si>
  <si>
    <t>Mr.GOURAVSHARMA</t>
  </si>
  <si>
    <t>VIJAY KUMAR SHARMA</t>
  </si>
  <si>
    <t>S/D/O : VIJAY KUMAR SHARMA, H NO W T 208 KOT MOHALLA, BASTI SHEIKH, OPP LABA MANDIR, JALANDHAR</t>
  </si>
  <si>
    <t>Jalandhar</t>
  </si>
  <si>
    <t>144002</t>
  </si>
  <si>
    <t>8699073734</t>
  </si>
  <si>
    <t>PB08DY3067</t>
  </si>
  <si>
    <t>MD626EG40J1A70361</t>
  </si>
  <si>
    <t>EG4AJ1304913</t>
  </si>
  <si>
    <t>TVS/1426</t>
  </si>
  <si>
    <t>RD904970795IN</t>
  </si>
  <si>
    <t>PB3048TW0014507</t>
  </si>
  <si>
    <t>Mr.SUKHDEV SINGH</t>
  </si>
  <si>
    <t>VIR SINGH</t>
  </si>
  <si>
    <t xml:space="preserve">S/D/O : VIR SINGH, VILL BHAM, TEH BATALA, BANK, </t>
  </si>
  <si>
    <t>Gurdaspur</t>
  </si>
  <si>
    <t>143527</t>
  </si>
  <si>
    <t>9501584931</t>
  </si>
  <si>
    <t>PB18U7524</t>
  </si>
  <si>
    <t>MD626EG49J1LE4360</t>
  </si>
  <si>
    <t>DG4LJ13B7740</t>
  </si>
  <si>
    <t>TVS/1427</t>
  </si>
  <si>
    <t>RD904970800IN</t>
  </si>
  <si>
    <t>PB3050TW0017243</t>
  </si>
  <si>
    <t>2022-03-11</t>
  </si>
  <si>
    <t>Mr.LOVEPREETDES RAJ</t>
  </si>
  <si>
    <t>DES RAJ</t>
  </si>
  <si>
    <t>S/D/O : DES RAJ, NAVI ABADI, HAMIRA, NEAR BALMIKI MANDIR, KAPURTHALA</t>
  </si>
  <si>
    <t>Kapurthala</t>
  </si>
  <si>
    <t>MD626CG58M3N01970</t>
  </si>
  <si>
    <t>CG5NM3800592</t>
  </si>
  <si>
    <t>JUPITER BSVI - SMW</t>
  </si>
  <si>
    <t>TVS/1428</t>
  </si>
  <si>
    <t>RD904970813IN</t>
  </si>
  <si>
    <t>PB3048TW0011907</t>
  </si>
  <si>
    <t>2018-01-25</t>
  </si>
  <si>
    <t>Mr.SHAMMILAL</t>
  </si>
  <si>
    <t>MADAN LAL</t>
  </si>
  <si>
    <t>S/D/O : MADAN LAL, NO-11 RANJIT AVENUE, C BLOCK NEW QUARTERS, CHANNE DAGHAR, AMRITSAR</t>
  </si>
  <si>
    <t>PB02DL0419</t>
  </si>
  <si>
    <t>MD626EG4XH3N****7</t>
  </si>
  <si>
    <t>EG4NH21****6</t>
  </si>
  <si>
    <t>TVS/1429</t>
  </si>
  <si>
    <t>RD904970827IN</t>
  </si>
  <si>
    <t>PB3044TW0018777</t>
  </si>
  <si>
    <t>2021-03-31</t>
  </si>
  <si>
    <t>Mr.HARPREETSINGH</t>
  </si>
  <si>
    <t>BALDEV SINGH</t>
  </si>
  <si>
    <t>S/D/O : BALDEV SINGH, LOHAT, SBS NAGAR, GURUDWARA, RAKKAR BET</t>
  </si>
  <si>
    <t>Nawanshahr</t>
  </si>
  <si>
    <t>PB20D3151</t>
  </si>
  <si>
    <t>MD626CG52M3A24763</t>
  </si>
  <si>
    <t>CG5AM3709930</t>
  </si>
  <si>
    <t>TVS/1430</t>
  </si>
  <si>
    <t>RD904970835IN</t>
  </si>
  <si>
    <t>TN3003CA0002390</t>
  </si>
  <si>
    <t>Tamil Nadu</t>
  </si>
  <si>
    <t>2016-02-27</t>
  </si>
  <si>
    <t>Mr.SENTHILS</t>
  </si>
  <si>
    <t>SIDDTHAN</t>
  </si>
  <si>
    <t>S/D/O : SIDDTHAN, NO 4A, KONDASAMY NAIDU LAYOUT,, M K PALAYAM ROAD,, NEAR MENAKA BAKERY, PEELAMEDU, COIMBATORE</t>
  </si>
  <si>
    <t>Coimbatore</t>
  </si>
  <si>
    <t>641004</t>
  </si>
  <si>
    <t>ta</t>
  </si>
  <si>
    <t>9585005000</t>
  </si>
  <si>
    <t>TN52V5888</t>
  </si>
  <si>
    <t>WVWA13603DT038742</t>
  </si>
  <si>
    <t>CFW352697</t>
  </si>
  <si>
    <t>VOLKSWAGEN POLO COMFORTLINE 1.2L DIESEL 2013</t>
  </si>
  <si>
    <t>TVS/1431</t>
  </si>
  <si>
    <t>RD904970844IN</t>
  </si>
  <si>
    <t>TN3008TW0088564</t>
  </si>
  <si>
    <t>2021-01-27</t>
  </si>
  <si>
    <t>Mr.ABDUL MOHAMED M</t>
  </si>
  <si>
    <t>MOHAMEDFAROOK</t>
  </si>
  <si>
    <t>S/D/O : MOHAMEDFAROOK, 1A/81 KAMARAJ COLONY, KOOTHANALLUR LAKSHMANGUDI, NEAR PALLIVASAL, THIRUVARUR</t>
  </si>
  <si>
    <t>Tiruvarur</t>
  </si>
  <si>
    <t>614102</t>
  </si>
  <si>
    <t>8870730760</t>
  </si>
  <si>
    <t>TN50AR8230</t>
  </si>
  <si>
    <t>MD634AE86L2P10477</t>
  </si>
  <si>
    <t>AE8PL2110199</t>
  </si>
  <si>
    <t>TVS/1432</t>
  </si>
  <si>
    <t>RD904970858IN</t>
  </si>
  <si>
    <t>TN3008TW0090128</t>
  </si>
  <si>
    <t>2021-03-08</t>
  </si>
  <si>
    <t>Mr.MUTHUKUMARM</t>
  </si>
  <si>
    <t>MARIYAPPAN</t>
  </si>
  <si>
    <t>S/D/O : MARIYAPPAN, NO: 477, GANDHI NAGAR, ERIPURAKARAI, MAJINI PALLIVASAL, ADIRAMPATTINAM</t>
  </si>
  <si>
    <t>Thanjavur</t>
  </si>
  <si>
    <t>614701</t>
  </si>
  <si>
    <t>7339309532</t>
  </si>
  <si>
    <t>TN49CX9681</t>
  </si>
  <si>
    <t>MD621BP22M1B20628</t>
  </si>
  <si>
    <t>BP2BM1419837</t>
  </si>
  <si>
    <t>TVS/1433</t>
  </si>
  <si>
    <t>RD904970861IN</t>
  </si>
  <si>
    <t>TN3003TW0077329</t>
  </si>
  <si>
    <t>Mr.MURUGESH A</t>
  </si>
  <si>
    <t>ARUMUGHAM</t>
  </si>
  <si>
    <t>S/D/O : ARUMUGHAM, 1/22,THIRUVALLUVAR NAGAR, NESAVALAR COLONY, ERATAI ILLAI STATUE NEAR, ONDIPUDUR</t>
  </si>
  <si>
    <t>641016</t>
  </si>
  <si>
    <t>8300532506</t>
  </si>
  <si>
    <t>TN37DJ4762</t>
  </si>
  <si>
    <t>MD626EG59L1N01529</t>
  </si>
  <si>
    <t>GG5NL1600540</t>
  </si>
  <si>
    <t>TVS/1434</t>
  </si>
  <si>
    <t>RD904970875IN</t>
  </si>
  <si>
    <t>TN3000TW0071782</t>
  </si>
  <si>
    <t>2018-07-28</t>
  </si>
  <si>
    <t>Mr.ASHIK MOHAMEDB</t>
  </si>
  <si>
    <t>BEER MOHAMED</t>
  </si>
  <si>
    <t>S/D/O : BEER MOHAMED, 36/10, KRISHNAPPANAIYAK STREET, METTUPALAYAM, ANJALI SWEETS, WEST MAMBALAM</t>
  </si>
  <si>
    <t>Chennai</t>
  </si>
  <si>
    <t>600033</t>
  </si>
  <si>
    <t>7299516731</t>
  </si>
  <si>
    <t>TN09CP6750</t>
  </si>
  <si>
    <t>MD626EG44J1D80514</t>
  </si>
  <si>
    <t>EG4DJ1612571</t>
  </si>
  <si>
    <t>TVS/1435</t>
  </si>
  <si>
    <t>RD904970889IN</t>
  </si>
  <si>
    <t>TN3003TW0078983</t>
  </si>
  <si>
    <t>2021-03-29</t>
  </si>
  <si>
    <t>Mr.PALANISAMYM</t>
  </si>
  <si>
    <t>S/D/O : MARIYAPPAN, NO 4/148 NEW COLONY, ETTIVEERAMPALAYAM, NEAR GOVT SCHOOL, PERUMANALLUR TIRUPPUR</t>
  </si>
  <si>
    <t>Tiruppur</t>
  </si>
  <si>
    <t>641666</t>
  </si>
  <si>
    <t>9965663015</t>
  </si>
  <si>
    <t>TN39DY1226</t>
  </si>
  <si>
    <t>MD621BP27L1P07824</t>
  </si>
  <si>
    <t>BP2PL1607489</t>
  </si>
  <si>
    <t>TVS/1436</t>
  </si>
  <si>
    <t>RD904970892IN</t>
  </si>
  <si>
    <t>TN3006TW0109200</t>
  </si>
  <si>
    <t>2018-11-23</t>
  </si>
  <si>
    <t>Mr.SUDHAKAR S</t>
  </si>
  <si>
    <t>SURULINATHAN</t>
  </si>
  <si>
    <t xml:space="preserve">S/D/O : SURULINATHAN, 230/2 M G R NAGAR, THIRU NAGAR SIVAGIRIPATTI, NEAR BALAN MALLIGAI KADAI, </t>
  </si>
  <si>
    <t>Dindigul</t>
  </si>
  <si>
    <t>624601</t>
  </si>
  <si>
    <t>9626355868</t>
  </si>
  <si>
    <t>TN94A1621</t>
  </si>
  <si>
    <t>MD621EP1XJ1N17716</t>
  </si>
  <si>
    <t>CP1NJ1X17239</t>
  </si>
  <si>
    <t>TVS/1437</t>
  </si>
  <si>
    <t>RD904970901IN</t>
  </si>
  <si>
    <t>TN3003TW0081997</t>
  </si>
  <si>
    <t>2021-10-19</t>
  </si>
  <si>
    <t>Mr.MANIKANDANV</t>
  </si>
  <si>
    <t>VENKATRAMAN</t>
  </si>
  <si>
    <t>S/D/O : VENKATRAMAN, 14/47, MANIKKAM NAGAR,, SULUR TALUK, IRUGUR, BUS STOP, COIMBATORE</t>
  </si>
  <si>
    <t>641103</t>
  </si>
  <si>
    <t>9600792955</t>
  </si>
  <si>
    <t>TN37EZ9411</t>
  </si>
  <si>
    <t>MD626DG56M2G01628</t>
  </si>
  <si>
    <t>FG5GM2401583</t>
  </si>
  <si>
    <t>SCOOTY ZEST MATTE SERIES - BSVI</t>
  </si>
  <si>
    <t>TVS/1438</t>
  </si>
  <si>
    <t>RD904970915IN</t>
  </si>
  <si>
    <t>TN3007TW0134536</t>
  </si>
  <si>
    <t>2022-01-29</t>
  </si>
  <si>
    <t>Mr.MARI APPADHURAIP</t>
  </si>
  <si>
    <t>PERUMAL</t>
  </si>
  <si>
    <t>S/D/O : PERUMAL, NO  :   62  ,  PICHINAR  THOPPU  ,, SRIVAIKUNDAM   ,, NEAR   AMMAN  KOVIL, TUTICORIN   ,</t>
  </si>
  <si>
    <t>Tuticorin</t>
  </si>
  <si>
    <t>628601</t>
  </si>
  <si>
    <t>9677323825</t>
  </si>
  <si>
    <t>MD621BP29N1A62678</t>
  </si>
  <si>
    <t>BP2AN1506391</t>
  </si>
  <si>
    <t>TVS/1439</t>
  </si>
  <si>
    <t>RD904970929IN</t>
  </si>
  <si>
    <t>TN3005TW0132323</t>
  </si>
  <si>
    <t>2020-06-15</t>
  </si>
  <si>
    <t>Mrs.SIYAMALA DEVI R</t>
  </si>
  <si>
    <t>S/D/O : RAJA, 2/21-1, MINIVAR STREET,  S. ADUTHURAI PO, PERAMBALUR DT, NEAR BY MARIYAMMAN KOVIL, PERAMBALUR DT</t>
  </si>
  <si>
    <t>Perambalur</t>
  </si>
  <si>
    <t>621108</t>
  </si>
  <si>
    <t>8489413879</t>
  </si>
  <si>
    <t>TN46Z1995</t>
  </si>
  <si>
    <t>MD621BP20L1B02174</t>
  </si>
  <si>
    <t>BP2BL1302077</t>
  </si>
  <si>
    <t>TVS/1440</t>
  </si>
  <si>
    <t>RD904970932IN</t>
  </si>
  <si>
    <t>TN3003TW0064097</t>
  </si>
  <si>
    <t>2018-11-07</t>
  </si>
  <si>
    <t>Mrs.GANGADEVI A</t>
  </si>
  <si>
    <t>ANANTHABABU</t>
  </si>
  <si>
    <t xml:space="preserve">S/D/O : ANANTHABABU, 2/231 A,KOLATHUPALAYAM,S.PERIYAPALAYAM,AVINASHI, TIRUPUR, I TECH GARMENT NEAR, </t>
  </si>
  <si>
    <t>Erode</t>
  </si>
  <si>
    <t>641607</t>
  </si>
  <si>
    <t>8248505162</t>
  </si>
  <si>
    <t>TN39CJ5547</t>
  </si>
  <si>
    <t>MD621EP14J1G48434</t>
  </si>
  <si>
    <t>DP1GJ1335455</t>
  </si>
  <si>
    <t>TVS/1441</t>
  </si>
  <si>
    <t>RD904970946IN</t>
  </si>
  <si>
    <t>TN3003TW0071178</t>
  </si>
  <si>
    <t>Mrs.PARAMESHWARI D</t>
  </si>
  <si>
    <t>DILEEP KUMAR</t>
  </si>
  <si>
    <t xml:space="preserve">S/D/O : DILEEP KUMAR, 10 BALATHANDAYUTHAM STREET GANDHIPURAM KAS THEATRE, NEAR, SURESH COMPLEX OPP, </t>
  </si>
  <si>
    <t>638002</t>
  </si>
  <si>
    <t>9047626482</t>
  </si>
  <si>
    <t>TN33BT2412</t>
  </si>
  <si>
    <t>MD626FG44K2L02782</t>
  </si>
  <si>
    <t>FG4LK2502654</t>
  </si>
  <si>
    <t>SCOOTY ZEST 110CC</t>
  </si>
  <si>
    <t>TVS/1442</t>
  </si>
  <si>
    <t>RD904970950IN</t>
  </si>
  <si>
    <t>TN3008TW0089035</t>
  </si>
  <si>
    <t>2021-02-09</t>
  </si>
  <si>
    <t>Mrs.NIROSHA S</t>
  </si>
  <si>
    <t>SENTHIL</t>
  </si>
  <si>
    <t>S/D/O : SENTHIL, 358,MARIYAMMAN KOVIL STREET, KADAMANAKUDI, AGARAVELUKUDI, NEAR MARIYAMMAN KOVIL, THIRUVARUR TK THIRUVARUR DT</t>
  </si>
  <si>
    <t>610102</t>
  </si>
  <si>
    <t>6385587327</t>
  </si>
  <si>
    <t>TN50AR9300</t>
  </si>
  <si>
    <t>MD626CG53M1A28655</t>
  </si>
  <si>
    <t>EG5AM1303370</t>
  </si>
  <si>
    <t>TVS/1443</t>
  </si>
  <si>
    <t>RD904970963IN</t>
  </si>
  <si>
    <t>TN3003TW0068855</t>
  </si>
  <si>
    <t>Mr.RASITH ALI A</t>
  </si>
  <si>
    <t>ABUBAKKAR</t>
  </si>
  <si>
    <t xml:space="preserve">S/D/O : ABUBAKKAR, NO 14 MOOVENDAR NAGAR, KUNIYAMUTHUR POST, NEAR SIRUVANI TANK, </t>
  </si>
  <si>
    <t>641008</t>
  </si>
  <si>
    <t>9843094711</t>
  </si>
  <si>
    <t>TN99Q5227</t>
  </si>
  <si>
    <t>MD626AG72K2E18465</t>
  </si>
  <si>
    <t>AG7EK2517582</t>
  </si>
  <si>
    <t>TVS/1444</t>
  </si>
  <si>
    <t>RD904970977IN</t>
  </si>
  <si>
    <t>TN3003TW0065586</t>
  </si>
  <si>
    <t>2019-01-17</t>
  </si>
  <si>
    <t>Mr.SARAVANAN V</t>
  </si>
  <si>
    <t>VELU</t>
  </si>
  <si>
    <t xml:space="preserve">S/D/O : VELU, AVP SCHOOL THOTTAM, GANDHINAGAR,, TIRUPUR, AVP SCHOOL NEAR, </t>
  </si>
  <si>
    <t>641603</t>
  </si>
  <si>
    <t>8526236381</t>
  </si>
  <si>
    <t>TN39CK0635</t>
  </si>
  <si>
    <t>MD621EP15J1P09657</t>
  </si>
  <si>
    <t>CP1PJ1009392</t>
  </si>
  <si>
    <t>TVS/1445</t>
  </si>
  <si>
    <t>RD904970985IN</t>
  </si>
  <si>
    <t>TN3003TW0063500</t>
  </si>
  <si>
    <t>2018-10-11</t>
  </si>
  <si>
    <t>Mrs.GAYATHRI</t>
  </si>
  <si>
    <t>PRABHU</t>
  </si>
  <si>
    <t xml:space="preserve">S/D/O : PRABHU, 23 A THIRUVALLUVAR NAGAR, KUNIYAMUTHUR POST, NEAR SODA COMPANY, </t>
  </si>
  <si>
    <t>7598720608</t>
  </si>
  <si>
    <t>TN99M4415</t>
  </si>
  <si>
    <t>MD626EG44J1G87794</t>
  </si>
  <si>
    <t>EG4GJ1234671</t>
  </si>
  <si>
    <t>TVS/1446</t>
  </si>
  <si>
    <t>RD904970994IN</t>
  </si>
  <si>
    <t>TN3005TW0145583</t>
  </si>
  <si>
    <t>2021-09-16</t>
  </si>
  <si>
    <t>Mr.JAYABALK</t>
  </si>
  <si>
    <t>KEVUNTICHAN</t>
  </si>
  <si>
    <t>S/D/O : KEVUNTICHAN, NO:2/66/2,KOWNDER STREET,4TH STREET,, KOLAKUDI, THOTTIYAM,, VINAYAGAR KOVIL, TRICHY</t>
  </si>
  <si>
    <t>Tiruchirappalli</t>
  </si>
  <si>
    <t>621208</t>
  </si>
  <si>
    <t>9443081596</t>
  </si>
  <si>
    <t>TN48BZ7882</t>
  </si>
  <si>
    <t>MD621BP27M1K09303</t>
  </si>
  <si>
    <t>BP2KM1608286</t>
  </si>
  <si>
    <t>TVS/1447</t>
  </si>
  <si>
    <t>RD904971005IN</t>
  </si>
  <si>
    <t>TN3005TW0141785</t>
  </si>
  <si>
    <t>2021-04-13</t>
  </si>
  <si>
    <t>Mr.GANESANN</t>
  </si>
  <si>
    <t>NATARAJAN</t>
  </si>
  <si>
    <t>S/D/O : NATARAJAN, 28, VALAN NAGAR, KULAPATTY ROAD, NEAR PARTHIBAN RICE MILL, AIRPORT TRICHY</t>
  </si>
  <si>
    <t>620007</t>
  </si>
  <si>
    <t>7550338309</t>
  </si>
  <si>
    <t>TN45BS9208</t>
  </si>
  <si>
    <t>MD625BK22M1C04945</t>
  </si>
  <si>
    <t>BK2CM1X02018</t>
  </si>
  <si>
    <t>TVS/1448</t>
  </si>
  <si>
    <t>RD904971014IN</t>
  </si>
  <si>
    <t>TN3004TW0107741</t>
  </si>
  <si>
    <t>2022-01-20</t>
  </si>
  <si>
    <t>Mr.SELVAKUMARR</t>
  </si>
  <si>
    <t>RANGANATHAN</t>
  </si>
  <si>
    <t>S/D/O : RANGANATHAN, 5/32, KAMANERI KATTUVALAVU,, SHINTHAMANIYUR,, MARIYAMMAN KOVIL, OLAIPATTI, METTUR.</t>
  </si>
  <si>
    <t>Salem</t>
  </si>
  <si>
    <t>636455</t>
  </si>
  <si>
    <t>8778103990</t>
  </si>
  <si>
    <t>MD634AE86M2L28919</t>
  </si>
  <si>
    <t>AE8LM2716199</t>
  </si>
  <si>
    <t>TVS/1449</t>
  </si>
  <si>
    <t>RD904971028IN</t>
  </si>
  <si>
    <t>TN3005TW0136102</t>
  </si>
  <si>
    <t>2020-09-17</t>
  </si>
  <si>
    <t>Mrs.N MANJULA</t>
  </si>
  <si>
    <t>THANGARAJ</t>
  </si>
  <si>
    <t>S/D/O : THANGARAJ, OLD NO 63/8, NEW NO 5/8, NEHRUJI NAGAR, UYYAKONDAN THIRUMALAI, MARIYAMMAM KOIL, TRICHY</t>
  </si>
  <si>
    <t>620102</t>
  </si>
  <si>
    <t>8190830490</t>
  </si>
  <si>
    <t>TN48BB2793</t>
  </si>
  <si>
    <t>MD621BP2XL1K16423</t>
  </si>
  <si>
    <t>BP2KL1315043</t>
  </si>
  <si>
    <t>TVS/1450</t>
  </si>
  <si>
    <t>RD904971031IN</t>
  </si>
  <si>
    <t>TN3007TW0112901</t>
  </si>
  <si>
    <t>Mr.PATTURAJA S</t>
  </si>
  <si>
    <t>SHANMUGAVEL</t>
  </si>
  <si>
    <t xml:space="preserve">S/D/O : SHANMUGAVEL, NO:2C5, SALAVAI THOLILAR COLONY, KATOPOMAN NAGAR, PILLIYAR KOVIL, </t>
  </si>
  <si>
    <t>TIRUNELVELI</t>
  </si>
  <si>
    <t>627425</t>
  </si>
  <si>
    <t>6383465171</t>
  </si>
  <si>
    <t>TN76AV8004</t>
  </si>
  <si>
    <t>MD625FF11K1E03507</t>
  </si>
  <si>
    <t>FF1EK1503706</t>
  </si>
  <si>
    <t>TVS/1451</t>
  </si>
  <si>
    <t>RD904971045IN</t>
  </si>
  <si>
    <t>TN3004TW0105055</t>
  </si>
  <si>
    <t>2021-09-27</t>
  </si>
  <si>
    <t>Mr.DEVARAJR</t>
  </si>
  <si>
    <t>S/D/O : RAJA, 3-150,KIZHKATTAIYAN VALAVU,, PUKKAMPATTI,, WATER TANK, METTUR.</t>
  </si>
  <si>
    <t>636451</t>
  </si>
  <si>
    <t>6381899462</t>
  </si>
  <si>
    <t>TN93E0121</t>
  </si>
  <si>
    <t>MD625CK23M1G03465</t>
  </si>
  <si>
    <t>AK2GM1801983</t>
  </si>
  <si>
    <t>TVS/1452</t>
  </si>
  <si>
    <t>RD904971059IN</t>
  </si>
  <si>
    <t>TN3003TW0073108</t>
  </si>
  <si>
    <t>2020-03-12</t>
  </si>
  <si>
    <t>Mr.PEETAR M</t>
  </si>
  <si>
    <t>MARIJOSPH</t>
  </si>
  <si>
    <t>S/D/O : MARIJOSPH, 108,SANTHAIKADAI STREETGOBI, KONDAIYAMPALAYAM, PILLAYAR KOVIL, GOBICHETTIPALAYAM, ERODE</t>
  </si>
  <si>
    <t>638505</t>
  </si>
  <si>
    <t>6379550753</t>
  </si>
  <si>
    <t>TN36AJ0373</t>
  </si>
  <si>
    <t>MD637CE74L2AL2048</t>
  </si>
  <si>
    <t>CE7AL22L1186</t>
  </si>
  <si>
    <t>TVS/1453</t>
  </si>
  <si>
    <t>RD904971062IN</t>
  </si>
  <si>
    <t>TN3007TW0117734</t>
  </si>
  <si>
    <t>2020-03-11</t>
  </si>
  <si>
    <t>Mr.BASKAR M</t>
  </si>
  <si>
    <t>MUTHAIAH</t>
  </si>
  <si>
    <t>S/D/O : MUTHAIAH, NO:17,RAMALINGAR STREET, AMBASAMUDRAM, BILLAYAR KOVIL, TIRUNELVELI</t>
  </si>
  <si>
    <t>627401</t>
  </si>
  <si>
    <t>8489495969</t>
  </si>
  <si>
    <t>TN76BZ2650</t>
  </si>
  <si>
    <t>MD625HF13K1F12773</t>
  </si>
  <si>
    <t>KF1FK1318830</t>
  </si>
  <si>
    <t>TVS/1454</t>
  </si>
  <si>
    <t>RD904971076IN</t>
  </si>
  <si>
    <t>TN3007TW0129231</t>
  </si>
  <si>
    <t>2021-07-21</t>
  </si>
  <si>
    <t>Mr.PONLINGAMS</t>
  </si>
  <si>
    <t>SEMBULINGAM</t>
  </si>
  <si>
    <t>S/D/O : SEMBULINGAM, 27,R C KOVIL STREET, SRIRUGUNATHAPURAM, RC CHURCH, PANAGUDI, TIRUNELVELI</t>
  </si>
  <si>
    <t>627109</t>
  </si>
  <si>
    <t>7200221008</t>
  </si>
  <si>
    <t>TN72CW0895</t>
  </si>
  <si>
    <t>MD621BP27M1G13124</t>
  </si>
  <si>
    <t>BP2GM1114767</t>
  </si>
  <si>
    <t>TVS/1455</t>
  </si>
  <si>
    <t>RD904971080IN</t>
  </si>
  <si>
    <t>TN3005TW0140880</t>
  </si>
  <si>
    <t>Mr.ABINAK</t>
  </si>
  <si>
    <t>KARUNANITHI</t>
  </si>
  <si>
    <t>S/D/O : KARUNANITHI, 109,NORTH STREET, MEIKKAVALPUTHUR, WATER TANK, UDAYARPALAYAM TK, ARIYALUR DT</t>
  </si>
  <si>
    <t>Ariyalur</t>
  </si>
  <si>
    <t>612901</t>
  </si>
  <si>
    <t>8940203974</t>
  </si>
  <si>
    <t>TN61U6890</t>
  </si>
  <si>
    <t>MD621BP29M2A20293</t>
  </si>
  <si>
    <t>BP2AM2110132</t>
  </si>
  <si>
    <t>TVS/1456</t>
  </si>
  <si>
    <t>RD904971093IN</t>
  </si>
  <si>
    <t>TN3008TW0092306</t>
  </si>
  <si>
    <t>Mrs.SAGAYAMARYS</t>
  </si>
  <si>
    <t>SENTHILKUMAR</t>
  </si>
  <si>
    <t>S/D/O : SENTHILKUMAR, 2/466,MAIN ROAD, MADUKKUR NORTH, PATTUKKOTTAI, GOVT SCHOOL, THANJAVUR</t>
  </si>
  <si>
    <t>614903</t>
  </si>
  <si>
    <t>9786849164</t>
  </si>
  <si>
    <t>TN49CW0461</t>
  </si>
  <si>
    <t>MD626CG57M1D10619</t>
  </si>
  <si>
    <t>DG5DM1503423</t>
  </si>
  <si>
    <t>TVS/1457</t>
  </si>
  <si>
    <t>RD904971102IN</t>
  </si>
  <si>
    <t>TN3000TW0079878</t>
  </si>
  <si>
    <t>2019-01-30</t>
  </si>
  <si>
    <t>Mr.BABU T</t>
  </si>
  <si>
    <t>TIRUNAVVUKARASU</t>
  </si>
  <si>
    <t xml:space="preserve">S/D/O : TIRUNAVVUKARASU, NO 50,, PERUMAL KOVIL STREET,, PERUMAL KOVIL, </t>
  </si>
  <si>
    <t>Tiruvallur</t>
  </si>
  <si>
    <t>600068</t>
  </si>
  <si>
    <t>9080099871</t>
  </si>
  <si>
    <t>TN03Z2838</t>
  </si>
  <si>
    <t>MD626EG41K1AL2493</t>
  </si>
  <si>
    <t>EG4AK13L2884</t>
  </si>
  <si>
    <t>TVS/1458</t>
  </si>
  <si>
    <t>RD904971116IN</t>
  </si>
  <si>
    <t>TN3005TW0149410</t>
  </si>
  <si>
    <t>2022-01-31</t>
  </si>
  <si>
    <t>Mr.RAHMATH NISHAM</t>
  </si>
  <si>
    <t>MUJIBIRAHMAN</t>
  </si>
  <si>
    <t>S/D/O : MUJIBIRAHMAN, NO 104/1, SEMBIYANMAHADEVIPATTINAM, KUPPADEVAN PO, PERAVOORANI TK, NEAR PALLI VASAL, TNANJAVUR DT</t>
  </si>
  <si>
    <t>Pudukkottai</t>
  </si>
  <si>
    <t>614630</t>
  </si>
  <si>
    <t>7339062781</t>
  </si>
  <si>
    <t>MD621BP23M2K39179</t>
  </si>
  <si>
    <t>BP2KM2014602</t>
  </si>
  <si>
    <t>TVS/1459</t>
  </si>
  <si>
    <t>RD904971120IN</t>
  </si>
  <si>
    <t>TN3008TW0089032</t>
  </si>
  <si>
    <t>Mrs.MAHESWARI S</t>
  </si>
  <si>
    <t>SELVARAJ</t>
  </si>
  <si>
    <t>S/D/O : SELVARAJ, 10B/1 MELA GOPURAVASAL, MANNARGUDI, AMMAN KOVIL, THIRUVARUR</t>
  </si>
  <si>
    <t>614001</t>
  </si>
  <si>
    <t>7639618915</t>
  </si>
  <si>
    <t>TN50AR8503</t>
  </si>
  <si>
    <t>MD621BP23M1A26564</t>
  </si>
  <si>
    <t>BP2AM1X22646</t>
  </si>
  <si>
    <t>TVS/1460</t>
  </si>
  <si>
    <t>RD904971133IN</t>
  </si>
  <si>
    <t>TN3008TW0090719</t>
  </si>
  <si>
    <t>2021-03-24</t>
  </si>
  <si>
    <t>Mr.PANNEERM</t>
  </si>
  <si>
    <t>MURUGAN</t>
  </si>
  <si>
    <t>S/D/O : MURUGAN, 4/133, NORTH STREET, KILIYANUR, VADAPATHIMANGALAM, NEAR KATHAVARAYAN KOVIL, NEEDAMANGALAM TK THIRUVARUR DT</t>
  </si>
  <si>
    <t>610206</t>
  </si>
  <si>
    <t>9846241474</t>
  </si>
  <si>
    <t>TN50BY2716</t>
  </si>
  <si>
    <t>MD626CG59M1B19686</t>
  </si>
  <si>
    <t>DG5BM1808994</t>
  </si>
  <si>
    <t>TVS/1461</t>
  </si>
  <si>
    <t>RD904971147IN</t>
  </si>
  <si>
    <t>TN3005TW0099627</t>
  </si>
  <si>
    <t>2017-03-27</t>
  </si>
  <si>
    <t>Mr.DHARMARAJANS</t>
  </si>
  <si>
    <t>SIVAKOLUNTHU</t>
  </si>
  <si>
    <t>S/D/O : SIVAKOLUNTHU, NO 1/11, PONVILANTHAN PATTI,, BURMA COLONY, SOLAGAMPATTI,, NEAR LIBRARY, THANJAVUR</t>
  </si>
  <si>
    <t>613102</t>
  </si>
  <si>
    <t>8760147075</t>
  </si>
  <si>
    <t>TN49BJ9822</t>
  </si>
  <si>
    <t>MD621DP10H1C79074</t>
  </si>
  <si>
    <t>DP1CH1987530</t>
  </si>
  <si>
    <t>TVS/1462</t>
  </si>
  <si>
    <t>RD904971155IN</t>
  </si>
  <si>
    <t>TN3007TW0117009</t>
  </si>
  <si>
    <t>Mrs.RASATHI A</t>
  </si>
  <si>
    <t>ARUMUGAM</t>
  </si>
  <si>
    <t xml:space="preserve">S/D/O : ARUMUGAM, 3/123,MGR NAGAR, AYANTHIRUVALLIESWARAM, NEAR KOVIL, </t>
  </si>
  <si>
    <t>627418</t>
  </si>
  <si>
    <t>9843033498</t>
  </si>
  <si>
    <t>TN76BZ1696</t>
  </si>
  <si>
    <t>MD621HP19L1A03475</t>
  </si>
  <si>
    <t>CP1AL1805471</t>
  </si>
  <si>
    <t>TVS/1463</t>
  </si>
  <si>
    <t>RD904971164IN</t>
  </si>
  <si>
    <t>TN3003TW0072330</t>
  </si>
  <si>
    <t>2020-01-21</t>
  </si>
  <si>
    <t>Mr.SARAVANAN P</t>
  </si>
  <si>
    <t>PONNUSAMY</t>
  </si>
  <si>
    <t xml:space="preserve">S/D/O : PONNUSAMY, 63/NA ANAIKADDU ROAD, SURAMPATTI VALASU, KUMAR MALIGAI KADAI 5 CUT, </t>
  </si>
  <si>
    <t>638009</t>
  </si>
  <si>
    <t>9976373405</t>
  </si>
  <si>
    <t>TN33BT7594</t>
  </si>
  <si>
    <t>MD626EG44K1N06675</t>
  </si>
  <si>
    <t>EG4NK1502355</t>
  </si>
  <si>
    <t>TVS/1464</t>
  </si>
  <si>
    <t>RD904971178IN</t>
  </si>
  <si>
    <t>PY3001TW0131069</t>
  </si>
  <si>
    <t>Pondicherry</t>
  </si>
  <si>
    <t>2019-07-27</t>
  </si>
  <si>
    <t>Mrs.RADHA V</t>
  </si>
  <si>
    <t>VENGADESAN</t>
  </si>
  <si>
    <t xml:space="preserve">S/D/O : VENGADESAN, 6, LARABSHA DARGA STREET,, PANRUTI, HOTEL, </t>
  </si>
  <si>
    <t>Cuddalore</t>
  </si>
  <si>
    <t>607106</t>
  </si>
  <si>
    <t>9171932385</t>
  </si>
  <si>
    <t>TN31CX5056</t>
  </si>
  <si>
    <t>MD626EG41J1L13916</t>
  </si>
  <si>
    <t>EG4LJ1933567</t>
  </si>
  <si>
    <t>TVS/1465</t>
  </si>
  <si>
    <t>RD904971181IN</t>
  </si>
  <si>
    <t>TN3008TW0079851</t>
  </si>
  <si>
    <t>Mr.RAVI K</t>
  </si>
  <si>
    <t>KALIYAPERUMAL</t>
  </si>
  <si>
    <t>S/D/O : KALIYAPERUMAL, 87, WEST STREET, OORUKUDI, MARAIYUR, PERIYANAYAGI KOVIL, MAYILADUTHURAI</t>
  </si>
  <si>
    <t>Nagapattinam</t>
  </si>
  <si>
    <t>609806</t>
  </si>
  <si>
    <t>9787324612</t>
  </si>
  <si>
    <t>TN82J1684</t>
  </si>
  <si>
    <t>MD621BP2XL1B11660</t>
  </si>
  <si>
    <t>BP2BL1911496</t>
  </si>
  <si>
    <t>TVS/1466</t>
  </si>
  <si>
    <t>RD904971195IN</t>
  </si>
  <si>
    <t>PY3001TW0148539</t>
  </si>
  <si>
    <t>2020-12-17</t>
  </si>
  <si>
    <t>Mr.KALIUGAVARATHAN P</t>
  </si>
  <si>
    <t>PATCHAI</t>
  </si>
  <si>
    <t>S/D/O : PATCHAI, 252, NORTH STREET, NORTH SATHIPATTU, MARIYAMMAN KOIL STREET, PANRUTI</t>
  </si>
  <si>
    <t>6369093145</t>
  </si>
  <si>
    <t>TN31CV6375</t>
  </si>
  <si>
    <t>MD626AK14L2L02864</t>
  </si>
  <si>
    <t>AK1LL2X02718</t>
  </si>
  <si>
    <t>TVS/1467</t>
  </si>
  <si>
    <t>RD904971204IN</t>
  </si>
  <si>
    <t>PY3001TW0122151</t>
  </si>
  <si>
    <t>Mr.PRAKASH S</t>
  </si>
  <si>
    <t>SAMINADAN</t>
  </si>
  <si>
    <t xml:space="preserve">S/D/O : SAMINADAN, 126,PILLAIYAR KOVIL STREET,, PATTIYANDAL VILLAGE AND VERRALUR POST,, PILLAIYAR KOVIL, </t>
  </si>
  <si>
    <t>Tiruvannamalai</t>
  </si>
  <si>
    <t>606901</t>
  </si>
  <si>
    <t>8270035094</t>
  </si>
  <si>
    <t>TN25BK0882</t>
  </si>
  <si>
    <t>MD625GF12J1F31923</t>
  </si>
  <si>
    <t>LF1FJ1018257</t>
  </si>
  <si>
    <t>TVS/1468</t>
  </si>
  <si>
    <t>RD904971218IN</t>
  </si>
  <si>
    <t>TN3007TW0131160</t>
  </si>
  <si>
    <t>2021-09-26</t>
  </si>
  <si>
    <t>Mr.VEERAPANDIANK</t>
  </si>
  <si>
    <t>KARUTHAPANDIYAN</t>
  </si>
  <si>
    <t>S/D/O : KARUTHAPANDIYAN, 1/85,MAIN ROAD,, PUTHUR, VALAVANTHAM KOVIL, RAJAPALAYAM</t>
  </si>
  <si>
    <t>Virudhunagar</t>
  </si>
  <si>
    <t>626111</t>
  </si>
  <si>
    <t>9361243577</t>
  </si>
  <si>
    <t>TN84L7617</t>
  </si>
  <si>
    <t>MD621BP29M1H19056</t>
  </si>
  <si>
    <t>BP2HM1504866</t>
  </si>
  <si>
    <t>TVS/1469</t>
  </si>
  <si>
    <t>RD904971221IN</t>
  </si>
  <si>
    <t>TN3007TW0113203</t>
  </si>
  <si>
    <t>2019-08-30</t>
  </si>
  <si>
    <t>Mr.NAGARAJ S</t>
  </si>
  <si>
    <t>SIVASAMY</t>
  </si>
  <si>
    <t xml:space="preserve">S/D/O : SIVASAMY, NO.3/288, METTU STREET,, T SEDAPATTI, RR NAGAR, EB SIVAM TAILOR SHOP, </t>
  </si>
  <si>
    <t>626204</t>
  </si>
  <si>
    <t>8754307835</t>
  </si>
  <si>
    <t>TN67BJ6133</t>
  </si>
  <si>
    <t>MD625HF14K1D17488</t>
  </si>
  <si>
    <t>KF1DK1118274</t>
  </si>
  <si>
    <t>TVS/1470</t>
  </si>
  <si>
    <t>RD904971235IN</t>
  </si>
  <si>
    <t>PY3001TW0156775</t>
  </si>
  <si>
    <t>Mr.MARUTHUPANDIYANK</t>
  </si>
  <si>
    <t>KANDAN</t>
  </si>
  <si>
    <t>S/D/O : KANDAN, NO.1/1 SANGARAPURAM ROAD STREET, NARIYANDAL V THIRUPALAPANDAL POST, MARIYAMMAN KOVIL NEAR, THIRUKOVILUR TK</t>
  </si>
  <si>
    <t>Villupuram</t>
  </si>
  <si>
    <t>605757</t>
  </si>
  <si>
    <t>9150140054</t>
  </si>
  <si>
    <t>TN15D9015</t>
  </si>
  <si>
    <t>MD625BK23M1H01454</t>
  </si>
  <si>
    <t>BK2HM1101305</t>
  </si>
  <si>
    <t>TVS/1471</t>
  </si>
  <si>
    <t>RD904971249IN</t>
  </si>
  <si>
    <t>TN3008TW0077933</t>
  </si>
  <si>
    <t>Mr.THAMEMUL ANSARI M</t>
  </si>
  <si>
    <t>MOHMED SHARIF</t>
  </si>
  <si>
    <t>S/D/O : MOHMED SHARIF, 10/13, PALLIVASAL STREET, NEIVASAL, PALLIVASAL, KANGANAMPUTHUR NAGAPATTINAM</t>
  </si>
  <si>
    <t>609203</t>
  </si>
  <si>
    <t>9843512411</t>
  </si>
  <si>
    <t>TN82J0154</t>
  </si>
  <si>
    <t>MD625PF57K1L04583</t>
  </si>
  <si>
    <t>PF5LK1402161</t>
  </si>
  <si>
    <t>TVS/1472</t>
  </si>
  <si>
    <t>RD904971252IN</t>
  </si>
  <si>
    <t>TN3000TW0076489</t>
  </si>
  <si>
    <t>Mr.KANNIYAPPAN P</t>
  </si>
  <si>
    <t>PANEERSELVAM</t>
  </si>
  <si>
    <t xml:space="preserve">S/D/O : PANEERSELVAM, NO 1/1, PERUMAL KOVIL STREET, ALINJIVAKKAM POST, NEAR WATER TANK, </t>
  </si>
  <si>
    <t>600067</t>
  </si>
  <si>
    <t>9444333041</t>
  </si>
  <si>
    <t>TN18AS5761</t>
  </si>
  <si>
    <t>MD625FF13J1N07511</t>
  </si>
  <si>
    <t>FF1NJ1910060</t>
  </si>
  <si>
    <t>STAR CITY PLUS KS MAG</t>
  </si>
  <si>
    <t>TVS/1473</t>
  </si>
  <si>
    <t>RD904971266IN</t>
  </si>
  <si>
    <t>TN3000TW0095237</t>
  </si>
  <si>
    <t>2020-02-18</t>
  </si>
  <si>
    <t>Mr.VENKADESAN E</t>
  </si>
  <si>
    <t>ELUMALAI</t>
  </si>
  <si>
    <t xml:space="preserve">S/D/O : ELUMALAI, NO 2295 DR AMBETHKAR NAGAR WEST, VELACHERY CHENNAI, BUS STOP, </t>
  </si>
  <si>
    <t>600042</t>
  </si>
  <si>
    <t>9566198231</t>
  </si>
  <si>
    <t>TN07CU9454</t>
  </si>
  <si>
    <t>MD626CG57K1N11155</t>
  </si>
  <si>
    <t>CG5NK1211198</t>
  </si>
  <si>
    <t>TVS/1474</t>
  </si>
  <si>
    <t>RD904971270IN</t>
  </si>
  <si>
    <t>TN3000TW0072049</t>
  </si>
  <si>
    <t>Mr.GAJENDRA BABUS</t>
  </si>
  <si>
    <t>SRINIVASAN</t>
  </si>
  <si>
    <t>S/D/O : SRINIVASAN, NO 67, CHANDRA PRABHU COLONY,, PONNIAMMAN MEDU,, JAIN KOVIL BACK SIDE, CHENNAI</t>
  </si>
  <si>
    <t>600110</t>
  </si>
  <si>
    <t>8015310414</t>
  </si>
  <si>
    <t>TN05BS7263</t>
  </si>
  <si>
    <t>MD626EG41J1G87137</t>
  </si>
  <si>
    <t>EG4GJ1134013</t>
  </si>
  <si>
    <t>TVS/1475</t>
  </si>
  <si>
    <t>RD904971283IN</t>
  </si>
  <si>
    <t>PY3001TW0150662</t>
  </si>
  <si>
    <t>2021-02-13</t>
  </si>
  <si>
    <t>Mr.PACHAIYAPPAN C</t>
  </si>
  <si>
    <t>CHINNAPPAN</t>
  </si>
  <si>
    <t xml:space="preserve">S/D/O : CHINNAPPAN, 31 BHARATHIDHASAN PETTAI STREET PELAKUPPAM ROAD, TINDIAVANAM VILLUPURAM, PILLAYAR KOVIL, </t>
  </si>
  <si>
    <t>604001</t>
  </si>
  <si>
    <t>8248203578</t>
  </si>
  <si>
    <t>TN16F9552</t>
  </si>
  <si>
    <t>MD621BP20M1A05106</t>
  </si>
  <si>
    <t>BP2AM1604759</t>
  </si>
  <si>
    <t>TVS/1476</t>
  </si>
  <si>
    <t>RD904971297IN</t>
  </si>
  <si>
    <t>TN3004TW0083222</t>
  </si>
  <si>
    <t>2018-11-15</t>
  </si>
  <si>
    <t>Mr.KUMAR P</t>
  </si>
  <si>
    <t xml:space="preserve">S/D/O : PONNUSAMY, D NO:1/189,AVARANKUTTAI, PULIYANUR, SINGARAPETTAI, UTHANGARAI, NEAR WATER TANK, </t>
  </si>
  <si>
    <t>Krishnagiri</t>
  </si>
  <si>
    <t>635307</t>
  </si>
  <si>
    <t>8668012532</t>
  </si>
  <si>
    <t>TN24AQ2642</t>
  </si>
  <si>
    <t>MD621EP18J2H38809</t>
  </si>
  <si>
    <t>DP1HJ2684277</t>
  </si>
  <si>
    <t>TVS/1477</t>
  </si>
  <si>
    <t>RD904971306IN</t>
  </si>
  <si>
    <t>TN3008TW0050292</t>
  </si>
  <si>
    <t>2017-12-26</t>
  </si>
  <si>
    <t>Mr.TAMILSELVANE</t>
  </si>
  <si>
    <t>ELAVARASAN</t>
  </si>
  <si>
    <t>S/D/O : ELAVARASAN, NO 2/20, PILLAIYAR KOIL STR,, VEERALUR, PULAVANUR PO,, NR PILLAIYAR KOIL, MAYILADUTHURAI, NAGAI</t>
  </si>
  <si>
    <t>609205</t>
  </si>
  <si>
    <t>9629817346</t>
  </si>
  <si>
    <t>TN82D8064</t>
  </si>
  <si>
    <t>MD621DP14H2G87698</t>
  </si>
  <si>
    <t>DP1GH2223153</t>
  </si>
  <si>
    <t>TVS/1478</t>
  </si>
  <si>
    <t>RD904971310IN</t>
  </si>
  <si>
    <t>PY3001TW0150559</t>
  </si>
  <si>
    <t>Mr.GOVINDARASU A</t>
  </si>
  <si>
    <t>ARULAPPAN</t>
  </si>
  <si>
    <t>S/D/O : ARULAPPAN, 492, ARUNTHATHIYAR STREET, ATHIYUR, ARIYALUR, PERIYANAYAGI AMMAN KOVIL, VILLUPURAM, SANKARAPURAM</t>
  </si>
  <si>
    <t>605801</t>
  </si>
  <si>
    <t>8946023598</t>
  </si>
  <si>
    <t>TN15MA0054</t>
  </si>
  <si>
    <t>MD626EG51M1A03572</t>
  </si>
  <si>
    <t>GG5AM1303307</t>
  </si>
  <si>
    <t>TVS/1479</t>
  </si>
  <si>
    <t>RD904971323IN</t>
  </si>
  <si>
    <t>TN3007TW0124013</t>
  </si>
  <si>
    <t>Mr.INBARAJ NADAR P</t>
  </si>
  <si>
    <t>PONNAIAH NADAR</t>
  </si>
  <si>
    <t>S/D/O : PONNAIAH NADAR, 28, MIDDLE STREET, MELAKOODANKULAM, NEAR SCHOOL, MYNACHIPATTI</t>
  </si>
  <si>
    <t>627355</t>
  </si>
  <si>
    <t>9042429999</t>
  </si>
  <si>
    <t>TN72CY3754</t>
  </si>
  <si>
    <t>MD621BP20L1L46047</t>
  </si>
  <si>
    <t>BP2LL1542435</t>
  </si>
  <si>
    <t>TVS/1480</t>
  </si>
  <si>
    <t>RD904971337IN</t>
  </si>
  <si>
    <t>TN3004TW0101850</t>
  </si>
  <si>
    <t>Mr.ARUNASALAME</t>
  </si>
  <si>
    <t>ELANGO</t>
  </si>
  <si>
    <t>S/D/O : ELANGO, D.NO. 40,, PERIYASAMI STREET, PUDHUPALAYAM, NEAR MARIYAMMAN KOVIL, VALAPPADY, SALEM</t>
  </si>
  <si>
    <t>636115</t>
  </si>
  <si>
    <t>9688925267</t>
  </si>
  <si>
    <t>TN54U6045</t>
  </si>
  <si>
    <t>MD625CK25L1H02853</t>
  </si>
  <si>
    <t>AK2HL1X05426</t>
  </si>
  <si>
    <t>TVS/1481</t>
  </si>
  <si>
    <t>RD904971345IN</t>
  </si>
  <si>
    <t>TN3002TW0050736</t>
  </si>
  <si>
    <t>2016-11-29</t>
  </si>
  <si>
    <t>Mr.AZHVANN</t>
  </si>
  <si>
    <t xml:space="preserve">S/D/O : NATARAJAN, NO.168,EKATHAMMAN KOIL STREET,, THIMMASAMUTHIRAM,KANCHIPURAM, NR EKATHAMMAN KOIL, </t>
  </si>
  <si>
    <t>631502</t>
  </si>
  <si>
    <t>9788842800</t>
  </si>
  <si>
    <t>MD626BG30G2E52530</t>
  </si>
  <si>
    <t>OG3EG2552138</t>
  </si>
  <si>
    <t>SCOOTY PEP PLUS COLOR ME</t>
  </si>
  <si>
    <t>TVS/1482</t>
  </si>
  <si>
    <t>RD904971354IN</t>
  </si>
  <si>
    <t>TN3008TW0081868</t>
  </si>
  <si>
    <t>Mr.SARAVANAN M</t>
  </si>
  <si>
    <t>MURUGAIYAN</t>
  </si>
  <si>
    <t>S/D/O : MURUGAIYAN, 239, SENGANGADU,, THILLAIVILGAM, SOCIETY OFFICE, THIRUTHURAIPOONDI</t>
  </si>
  <si>
    <t>614706</t>
  </si>
  <si>
    <t>9655681848</t>
  </si>
  <si>
    <t>TN50AT8249</t>
  </si>
  <si>
    <t>MD625AK29L1G02629</t>
  </si>
  <si>
    <t>CK2GL1502500</t>
  </si>
  <si>
    <t>TVS/1483</t>
  </si>
  <si>
    <t>RD904971368IN</t>
  </si>
  <si>
    <t>TN3004TW0101351</t>
  </si>
  <si>
    <t>2021-03-06</t>
  </si>
  <si>
    <t>Mr.SHANKARM</t>
  </si>
  <si>
    <t>MALLAPURAM</t>
  </si>
  <si>
    <t>S/D/O : MALLAPURAM, 10-6, VELLIMALAI, M VELLALAPATTI,, CHANDRAPATTI, UTHANGARAI,, WATERTANK, KRISHNAGIRI</t>
  </si>
  <si>
    <t>635304</t>
  </si>
  <si>
    <t>9444850944</t>
  </si>
  <si>
    <t>TN24AV9057</t>
  </si>
  <si>
    <t>MD621BP21M2B07329</t>
  </si>
  <si>
    <t>BP2BM2502926</t>
  </si>
  <si>
    <t>TVS/1484</t>
  </si>
  <si>
    <t>RD904971371IN</t>
  </si>
  <si>
    <t>TN3000TW0092940</t>
  </si>
  <si>
    <t>2019-12-17</t>
  </si>
  <si>
    <t>Mrs.VIMALA M</t>
  </si>
  <si>
    <t>MANIVELU</t>
  </si>
  <si>
    <t xml:space="preserve">S/D/O : MANIVELU, NO: 5617, TNHB QUARTERS,, SEMANCHARI,, BUS STOP, </t>
  </si>
  <si>
    <t>Kanchipuram</t>
  </si>
  <si>
    <t>600119</t>
  </si>
  <si>
    <t>9444020479</t>
  </si>
  <si>
    <t>TN14V1600</t>
  </si>
  <si>
    <t>MD626EG48K1L22677</t>
  </si>
  <si>
    <t>EG4LK1X11246</t>
  </si>
  <si>
    <t>TVS/1485</t>
  </si>
  <si>
    <t>RD904971385IN</t>
  </si>
  <si>
    <t>TN3006TW0116348</t>
  </si>
  <si>
    <t>Mr.PRIYANGA G</t>
  </si>
  <si>
    <t>SIVALINGAM</t>
  </si>
  <si>
    <t xml:space="preserve">S/D/O : SIVALINGAM, 274/4 PASUMPON STREET , VILACHERRI ,, MADURAI, NEAR DEVAR STACHEW, </t>
  </si>
  <si>
    <t>Madurai</t>
  </si>
  <si>
    <t>625006</t>
  </si>
  <si>
    <t>6369768417</t>
  </si>
  <si>
    <t>TN58BC0424</t>
  </si>
  <si>
    <t>MD621HP12K1D32453</t>
  </si>
  <si>
    <t>CP1DK1933117</t>
  </si>
  <si>
    <t>TVS/1486</t>
  </si>
  <si>
    <t>RD904971399IN</t>
  </si>
  <si>
    <t>TN3006CA0004731</t>
  </si>
  <si>
    <t>Mr.RAJ KUMARA</t>
  </si>
  <si>
    <t>AZHAGUMUTHU</t>
  </si>
  <si>
    <t xml:space="preserve">S/D/O : AZHAGUMUTHU, NO 137/2, NATTANMAIKKARAR STREET,, VADIPATTI, MADURAI, NEAR OPP TO GOVT SCHOOL, </t>
  </si>
  <si>
    <t>625218</t>
  </si>
  <si>
    <t>9842120643</t>
  </si>
  <si>
    <t>TN59BY7092</t>
  </si>
  <si>
    <t>MALBB51RLDM539344C</t>
  </si>
  <si>
    <t>D4FCCU263981</t>
  </si>
  <si>
    <t>HYUNDAI I20 MAGNA 1.4 CRDI DIESEL</t>
  </si>
  <si>
    <t>TVS/1487</t>
  </si>
  <si>
    <t>RD904971408IN</t>
  </si>
  <si>
    <t>TN3004CA0005940</t>
  </si>
  <si>
    <t>2021-07-31</t>
  </si>
  <si>
    <t>Mr.PRASATHT</t>
  </si>
  <si>
    <t>THAMBIDURAI</t>
  </si>
  <si>
    <t>S/D/O : THAMBIDURAI, NO 1/107, PAPPIREDDIYUR, KAMMAMPATTI, KATTUVALAVU, NALLAMPALLI,, NEAR MARIAMMAN TEMPLE, DHARMAPURI</t>
  </si>
  <si>
    <t>Dharmapuri</t>
  </si>
  <si>
    <t>636352</t>
  </si>
  <si>
    <t>9486892938</t>
  </si>
  <si>
    <t>TN63BZ9054</t>
  </si>
  <si>
    <t>MALA841ELHM255368</t>
  </si>
  <si>
    <t>D3FBHM316126</t>
  </si>
  <si>
    <t>HYUNDAI XCENT S 1.2 CRDI DIESEL</t>
  </si>
  <si>
    <t>TVS/1488</t>
  </si>
  <si>
    <t>RD904971411IN</t>
  </si>
  <si>
    <t>TN3004CA0004819</t>
  </si>
  <si>
    <t>Mr.SELVARAJM</t>
  </si>
  <si>
    <t>MUNIYAN</t>
  </si>
  <si>
    <t>S/D/O : MUNIYAN, DOOR NO : 4 / 343 / 28, SAMUTHRAM, KASPA, NEAR WATER TANK, SAMUDRAM TK , EDAPPADI, SALEM</t>
  </si>
  <si>
    <t>636306</t>
  </si>
  <si>
    <t>9629778757</t>
  </si>
  <si>
    <t>TN23CE2548</t>
  </si>
  <si>
    <t>MEEJSRGW4G5006484</t>
  </si>
  <si>
    <t>E035085</t>
  </si>
  <si>
    <t>RENAULT LODGY 85 PS RXE DIESEL</t>
  </si>
  <si>
    <t>TVS/1489</t>
  </si>
  <si>
    <t>RD904971425IN</t>
  </si>
  <si>
    <t>TN3000TW0114972</t>
  </si>
  <si>
    <t>Mrs.SUMATHIANANDHAN</t>
  </si>
  <si>
    <t>ANANDHAN</t>
  </si>
  <si>
    <t>S/D/O : ANANDHAN, NO 49, THIRUVALLUVAR MAIN ROAD, PUZHAL, NEAR ACA CHURCH, CHENNAI</t>
  </si>
  <si>
    <t>TN18BE9306</t>
  </si>
  <si>
    <t>MD626EG59M1H07535</t>
  </si>
  <si>
    <t>GG5HM1707165</t>
  </si>
  <si>
    <t>TVS/1490</t>
  </si>
  <si>
    <t>RD904971439IN</t>
  </si>
  <si>
    <t>TN3006TW0115199</t>
  </si>
  <si>
    <t>2019-06-13</t>
  </si>
  <si>
    <t>Mrs.MAKESWARI J</t>
  </si>
  <si>
    <t>JEISANKAR</t>
  </si>
  <si>
    <t xml:space="preserve">S/D/O : JEISANKAR, NO.38, SAMBAI , OLAIKUDA POST, RAMESWARAM, NEAR KANTHARIYAMMAN TEMPLE, </t>
  </si>
  <si>
    <t>Ramanathapuram</t>
  </si>
  <si>
    <t>TN65AJ9282</t>
  </si>
  <si>
    <t>MD626AG35K2E02354</t>
  </si>
  <si>
    <t>AG3EK2402130</t>
  </si>
  <si>
    <t>TVS/1491</t>
  </si>
  <si>
    <t>RD904971442IN</t>
  </si>
  <si>
    <t>TN3004TW0076467</t>
  </si>
  <si>
    <t>2018-04-18</t>
  </si>
  <si>
    <t>Mrs.THILAGAVATHIM</t>
  </si>
  <si>
    <t>MADHAYAN</t>
  </si>
  <si>
    <t>S/D/O : MADHAYAN, NO.116/B, KAMBAR STREET,, CHINNATHIRUPATHI,, SIVAN TEMPLE, SALEM</t>
  </si>
  <si>
    <t>TN30BK4428</t>
  </si>
  <si>
    <t>MD626AG37J2C69014</t>
  </si>
  <si>
    <t>AG3CJ2165437</t>
  </si>
  <si>
    <t>TVS/1492</t>
  </si>
  <si>
    <t>RD904971456IN</t>
  </si>
  <si>
    <t>TN3008TW0082247</t>
  </si>
  <si>
    <t>2020-08-11</t>
  </si>
  <si>
    <t>Mrs.SINEHA M</t>
  </si>
  <si>
    <t>MOORTHY</t>
  </si>
  <si>
    <t>S/D/O : MOORTHY, 2/90, MADHAKOVIL STREET, ELANTHANGUDI, GOVT SCHOOL, KUTHALAM</t>
  </si>
  <si>
    <t>TN82J3081</t>
  </si>
  <si>
    <t>MD626CG50L1H04557</t>
  </si>
  <si>
    <t>DG5HL1400640</t>
  </si>
  <si>
    <t>TVS/1493</t>
  </si>
  <si>
    <t>RD904971460IN</t>
  </si>
  <si>
    <t>TN3004TW0098131</t>
  </si>
  <si>
    <t>2020-10-07</t>
  </si>
  <si>
    <t>Mr.JEEVANANTHAM G</t>
  </si>
  <si>
    <t>CHINNAGOVINDHAN</t>
  </si>
  <si>
    <t>S/D/O : CHINNAGOVINDHAN, 4/202,S KOTTAVUR, KOTTAVUR POST, MARRIYAMMAN KOVIL, KUPPUR, DHARMAPURI</t>
  </si>
  <si>
    <t>TN29BM8469</t>
  </si>
  <si>
    <t>MD626AK30L2K26366</t>
  </si>
  <si>
    <t>AK3KL2726287</t>
  </si>
  <si>
    <t>TVS/1494</t>
  </si>
  <si>
    <t>RD904971473IN</t>
  </si>
  <si>
    <t>TN3000TW0098661</t>
  </si>
  <si>
    <t>Mr.RAJAKUMARAN R</t>
  </si>
  <si>
    <t>RAJASEKARAN</t>
  </si>
  <si>
    <t>S/D/O : RAJASEKARAN, NO: 1/78, BHARATHIYAR STREET,, MULLAI NAGAR, THAZHAMBUR,, POST OFFICE, KANCHIPURAM</t>
  </si>
  <si>
    <t>TN14W3650</t>
  </si>
  <si>
    <t>MD626CG51L1G09246</t>
  </si>
  <si>
    <t>CG5GL1207643</t>
  </si>
  <si>
    <t>TVS/1495</t>
  </si>
  <si>
    <t>RD904971487IN</t>
  </si>
  <si>
    <t>TN3005TW0130343</t>
  </si>
  <si>
    <t>2020-02-21</t>
  </si>
  <si>
    <t>Mr.SABAR ALI M</t>
  </si>
  <si>
    <t>MOHAMED SAREEF</t>
  </si>
  <si>
    <t>S/D/O : MOHAMED SAREEF, 276  KARAIYUR PONNAMARAVATHY, PONNAMARAVATHY PUDUKKOTTAI, WATERTANK, PUDUKKOTTAI</t>
  </si>
  <si>
    <t>TN55BF5591</t>
  </si>
  <si>
    <t>MD626AG39L2A01536</t>
  </si>
  <si>
    <t>AG3AL2501233</t>
  </si>
  <si>
    <t>TVS/1496</t>
  </si>
  <si>
    <t>RD904971495IN</t>
  </si>
  <si>
    <t>TN3008TW0087293</t>
  </si>
  <si>
    <t>2020-12-16</t>
  </si>
  <si>
    <t>Mr.PALANI K</t>
  </si>
  <si>
    <t>KALIYAMOORTHY</t>
  </si>
  <si>
    <t>S/D/O : KALIYAMOORTHY, NO. 2/525, KANGAIYANPETTAI, UDAIYALUR, KUMBAKONAM, MARIAMMAN KOIL, THANJAVUR</t>
  </si>
  <si>
    <t>TN68AD6322</t>
  </si>
  <si>
    <t>MD621BP29L1N26126</t>
  </si>
  <si>
    <t>BP2NL1427341</t>
  </si>
  <si>
    <t>TVS/1497</t>
  </si>
  <si>
    <t>RD904971500IN</t>
  </si>
  <si>
    <t>PY3001TW0156588</t>
  </si>
  <si>
    <t>2021-08-26</t>
  </si>
  <si>
    <t>Mr.RANJITHE</t>
  </si>
  <si>
    <t>S/D/O : ELUMALAI, 1-26,KAMAN KOVIL STREET, T.EDAIYAR, KAMAN KOVIL, VILLUPURAM</t>
  </si>
  <si>
    <t>TN32BB1370</t>
  </si>
  <si>
    <t>MD634AE81M2G15460</t>
  </si>
  <si>
    <t>AE8GM2X15645</t>
  </si>
  <si>
    <t>TVS/1498</t>
  </si>
  <si>
    <t>RD904971513IN</t>
  </si>
  <si>
    <t>TN3008TW0081553</t>
  </si>
  <si>
    <t>2020-07-27</t>
  </si>
  <si>
    <t>Mrs.JOTHI G</t>
  </si>
  <si>
    <t>GOVINDARAJ</t>
  </si>
  <si>
    <t>S/D/O : GOVINDARAJ, 18-31 UPSTARS KARUDALAYA STREET, KUMBAKONAM, PILLAYARKOVIL, THANJAVUR</t>
  </si>
  <si>
    <t>TN68AC7168</t>
  </si>
  <si>
    <t>MD626CG51L1F35908</t>
  </si>
  <si>
    <t>CG5FL1726163</t>
  </si>
  <si>
    <t>TVS/1499</t>
  </si>
  <si>
    <t>RD904971527IN</t>
  </si>
  <si>
    <t>TN3004TW0106496</t>
  </si>
  <si>
    <t>Miss.SANGEETHAMURUGAN</t>
  </si>
  <si>
    <t>S/D/O : MURUGAN, 1/50,ONNAPPAGOUNDANA HALLI, PENNAGARAM, WATERTANK, DHARMAPURI</t>
  </si>
  <si>
    <t>TN29BQ4743</t>
  </si>
  <si>
    <t>MD626DG55M2K03906</t>
  </si>
  <si>
    <t>FG5KM2303747</t>
  </si>
  <si>
    <t>TVS/1500</t>
  </si>
  <si>
    <t>RD904971535IN</t>
  </si>
  <si>
    <t>TN3006CA0007135</t>
  </si>
  <si>
    <t>2021-03-17</t>
  </si>
  <si>
    <t>Mr.NAZEER AHMEDA</t>
  </si>
  <si>
    <t>ABDUL KADHER</t>
  </si>
  <si>
    <t>S/D/O : ABDUL KADHER, B9,THALAI STREET,, SARANI APARTMENT,, NEAR DORA PLAY SCHOOL, MADURAI</t>
  </si>
  <si>
    <t>TN64L5438</t>
  </si>
  <si>
    <t>MA1NA2SMXF6L38379</t>
  </si>
  <si>
    <t>SMF6L21390</t>
  </si>
  <si>
    <t>MAHINDRA TUV 300 T8 DIESEL</t>
  </si>
  <si>
    <t>TVS/1501</t>
  </si>
  <si>
    <t>RD904971544IN</t>
  </si>
  <si>
    <t>TN3007TW0123353</t>
  </si>
  <si>
    <t>2020-11-09</t>
  </si>
  <si>
    <t>Mr.SARAVANAN T</t>
  </si>
  <si>
    <t>S/D/O : THANGARAJ, 5/234 E MGR NAGAR, VAIRAVIKULAM, NEAR PILLAIYAR KOVIL, KSLLIDAIKURICHI</t>
  </si>
  <si>
    <t>TN76BZ6508</t>
  </si>
  <si>
    <t>MD626EG56L1K09899</t>
  </si>
  <si>
    <t>GG5KL1009507</t>
  </si>
  <si>
    <t>TVS/1502</t>
  </si>
  <si>
    <t>RD904971558IN</t>
  </si>
  <si>
    <t>TN3008TW0080451</t>
  </si>
  <si>
    <t>2020-07-04</t>
  </si>
  <si>
    <t>Mr.SATHISH G</t>
  </si>
  <si>
    <t>GANAPATHY</t>
  </si>
  <si>
    <t>S/D/O : GANAPATHY, NO 367, KALLAR STREET INATHUKANPATTI, NEAR SHYAMALADEVI KOVIL, THANJAVUR</t>
  </si>
  <si>
    <t>TN49CB2718</t>
  </si>
  <si>
    <t>MD621BP27L1F36138</t>
  </si>
  <si>
    <t>BP2FL1934365</t>
  </si>
  <si>
    <t>TVS/1503</t>
  </si>
  <si>
    <t>RD904971561IN</t>
  </si>
  <si>
    <t>TN3007TW0127810</t>
  </si>
  <si>
    <t>2021-04-29</t>
  </si>
  <si>
    <t>Mr.MUNEESWARANS</t>
  </si>
  <si>
    <t>SUDALAIRAJ</t>
  </si>
  <si>
    <t>S/D/O : SUDALAIRAJ, NO : 1650, BHARATHI NAGAR,, KALAPPAKULAM,, NEAR MUTHU MARIYAMMAN KOVIL, SANKARANKOVIL, THIRUNELVELI.</t>
  </si>
  <si>
    <t>TN79J6620</t>
  </si>
  <si>
    <t>MD625BK26M1C02633</t>
  </si>
  <si>
    <t>BK2CM1X02538</t>
  </si>
  <si>
    <t>TVS/1504</t>
  </si>
  <si>
    <t>RD904971575IN</t>
  </si>
  <si>
    <t>TN3008TW0068181</t>
  </si>
  <si>
    <t>Mr.GNANASUNDARAM R</t>
  </si>
  <si>
    <t>RETHINAM</t>
  </si>
  <si>
    <t xml:space="preserve">S/D/O : RETHINAM, 606 MELA STREET, MAHARAJAPURAM THIRUMAKOTTAI, BUS STOP, </t>
  </si>
  <si>
    <t>TN50AU9871</t>
  </si>
  <si>
    <t>MD621HP10K1B32333</t>
  </si>
  <si>
    <t>CP1BK1634295</t>
  </si>
  <si>
    <t>TVS/1505</t>
  </si>
  <si>
    <t>RD904971589IN</t>
  </si>
  <si>
    <t>TN3008TW0037871</t>
  </si>
  <si>
    <t>2016-10-12</t>
  </si>
  <si>
    <t>Mr.MOHAMED ALIS</t>
  </si>
  <si>
    <t>SYED ALI</t>
  </si>
  <si>
    <t>S/D/O : SYED ALI, O NO 443/2, N NO 443/1,, ARABATH STREET, SEKARAI, PODAKUDI, NEAR MAIN ROAD, NEEDAMANGALAM, THIRUVARUR</t>
  </si>
  <si>
    <t>TN50AY8263</t>
  </si>
  <si>
    <t>MD625MF15G1F59545</t>
  </si>
  <si>
    <t>EF1FG1560257</t>
  </si>
  <si>
    <t>TVS/1506</t>
  </si>
  <si>
    <t>RD904971592IN</t>
  </si>
  <si>
    <t>TN3004TW0093965</t>
  </si>
  <si>
    <t>2020-03-21</t>
  </si>
  <si>
    <t>Mr.SUBRAMANI P</t>
  </si>
  <si>
    <t>S/D/O : PERUMAL, 8-292,ARUNDHATHIYAR STREET, KALLAPALAYAM,VELLARIVELLI, WATER TANK, EDAPPADI, SALEM</t>
  </si>
  <si>
    <t>TN52Q9038</t>
  </si>
  <si>
    <t>MD625HF15K1P01776</t>
  </si>
  <si>
    <t>KF1PK1802281</t>
  </si>
  <si>
    <t>TVS/1507</t>
  </si>
  <si>
    <t>RD904971601IN</t>
  </si>
  <si>
    <t>TN3000TW0098246</t>
  </si>
  <si>
    <t>2020-07-08</t>
  </si>
  <si>
    <t>Mr.VASANTHAKUMAR R</t>
  </si>
  <si>
    <t>ROBERT PICAIMUTHU</t>
  </si>
  <si>
    <t>S/D/O : ROBERT PICAIMUTHU, 1/56 CHURCH STREET ODIYATHUR VILLAGE, ODIYATHUR POST, NEAR WATER TANK, ANAICUT TK VELLORE</t>
  </si>
  <si>
    <t>Vellore</t>
  </si>
  <si>
    <t>TN23CV8915</t>
  </si>
  <si>
    <t>MD626CG56L1B05808</t>
  </si>
  <si>
    <t>CG5BL1804922</t>
  </si>
  <si>
    <t>TVS/1508</t>
  </si>
  <si>
    <t>RD904971615IN</t>
  </si>
  <si>
    <t>PY3001TW0161435</t>
  </si>
  <si>
    <t>2022-01-28</t>
  </si>
  <si>
    <t>Mr.GUNASEKARANR</t>
  </si>
  <si>
    <t>RAMANAN</t>
  </si>
  <si>
    <t>S/D/O : RAMANAN, NO: 26, MARICHETTIKULAM STREET, MURUNGAPAKKAM, WATER THANK, TINDIVANAM</t>
  </si>
  <si>
    <t>MD625BK27M1P01275</t>
  </si>
  <si>
    <t>BK2PM1501196</t>
  </si>
  <si>
    <t>TVS/1509</t>
  </si>
  <si>
    <t>RD904971629IN</t>
  </si>
  <si>
    <t>TN3008TW0078287</t>
  </si>
  <si>
    <t>Mrs.RAJESWARI M</t>
  </si>
  <si>
    <t>MATHIYALAGAN</t>
  </si>
  <si>
    <t>S/D/O : MATHIYALAGAN, 1/105 NORTH STREET VETTUVAKKOTTAI PUDUVIDUTHY, ORATHANADU, NEAR RIVER, THANJAVUR</t>
  </si>
  <si>
    <t>TN49CA8986</t>
  </si>
  <si>
    <t>MD626AG37K2K07109</t>
  </si>
  <si>
    <t>AG3KK2406824</t>
  </si>
  <si>
    <t>SCOOTY PEP PLUS REFRESH</t>
  </si>
  <si>
    <t>TVS/1510</t>
  </si>
  <si>
    <t>RD904971632IN</t>
  </si>
  <si>
    <t>TN3007TW0115557</t>
  </si>
  <si>
    <t>Mr.VANAKUMAR K</t>
  </si>
  <si>
    <t>KANDASAMY</t>
  </si>
  <si>
    <t xml:space="preserve">S/D/O : KANDASAMY, 42/71A, PANAIYADIN KOVIL STREET, VAITHILINGAPURAM, PANAIYADIAN KOVIL, </t>
  </si>
  <si>
    <t>TN76BZ1324</t>
  </si>
  <si>
    <t>MD626FG47K2K04670</t>
  </si>
  <si>
    <t>FG4KK2504595</t>
  </si>
  <si>
    <t>TVS/1511</t>
  </si>
  <si>
    <t>RD904971646IN</t>
  </si>
  <si>
    <t>TN3006TW0136343</t>
  </si>
  <si>
    <t>2021-11-25</t>
  </si>
  <si>
    <t>Mr.MURUGESANN</t>
  </si>
  <si>
    <t>NAMBAIYA</t>
  </si>
  <si>
    <t>S/D/O : NAMBAIYA, 2/2,VALAIYARVADI,, VEDALAI,MANDAPAM, NEAR PILLAIYAR KOVIL, RAMANATHAPURAM</t>
  </si>
  <si>
    <t>TN65AQ3153</t>
  </si>
  <si>
    <t>MD621BP27M1G34524</t>
  </si>
  <si>
    <t>BP2GM1737091</t>
  </si>
  <si>
    <t>TVS/1512</t>
  </si>
  <si>
    <t>RD904971650IN</t>
  </si>
  <si>
    <t>TN3008TW0092126</t>
  </si>
  <si>
    <t>2021-05-23</t>
  </si>
  <si>
    <t>Mrs.MUTHALAKIA</t>
  </si>
  <si>
    <t>ARUN</t>
  </si>
  <si>
    <t>S/D/O : ARUN, 2/47 PALAVAI ST, VADAKANDAM, PILLAYAR KOVIL, THIRUVARUR</t>
  </si>
  <si>
    <t>TN50AJ1723</t>
  </si>
  <si>
    <t>MD626DG55M2D03197</t>
  </si>
  <si>
    <t>FG5DM2003144</t>
  </si>
  <si>
    <t>SCOOTY ZEST - BSVI</t>
  </si>
  <si>
    <t>TVS/1513</t>
  </si>
  <si>
    <t>RD904971663IN</t>
  </si>
  <si>
    <t>TN3006TW0122867</t>
  </si>
  <si>
    <t>2020-05-16</t>
  </si>
  <si>
    <t>Mr.MUTHURAMALINGAM K</t>
  </si>
  <si>
    <t>KEZHATHEVAR</t>
  </si>
  <si>
    <t>S/D/O : KEZHATHEVAR, NO.219, WATER WORKS BLOCK 5, RAMESWARAM, NEAR VINAYAGAR TEMPLE, RAMANATHAPURAM</t>
  </si>
  <si>
    <t>TN65AL4709</t>
  </si>
  <si>
    <t>MD621BP22L1B42174</t>
  </si>
  <si>
    <t>BP2BL1338462</t>
  </si>
  <si>
    <t>TVS/1514</t>
  </si>
  <si>
    <t>RD904971677IN</t>
  </si>
  <si>
    <t>TN3000TW0104403</t>
  </si>
  <si>
    <t>2020-12-03</t>
  </si>
  <si>
    <t>Mr.PREMKUMAR A</t>
  </si>
  <si>
    <t>ANTONY</t>
  </si>
  <si>
    <t>S/D/O : ANTONY, NO:1056,PRITHIVI NAGAR, THERVAZHI, NEAR ST MARY'S SCHOOL BACK SIDE, GUMMIDIPOONDI</t>
  </si>
  <si>
    <t>TN18AW9885</t>
  </si>
  <si>
    <t>MD626CG57L1N22223</t>
  </si>
  <si>
    <t>CG5NL1013539</t>
  </si>
  <si>
    <t>TVS/1515</t>
  </si>
  <si>
    <t>RD904971685IN</t>
  </si>
  <si>
    <t>TN3004CA0004591</t>
  </si>
  <si>
    <t>2019-11-14</t>
  </si>
  <si>
    <t>Mr.THANGARAJBS</t>
  </si>
  <si>
    <t>SAMRAJ</t>
  </si>
  <si>
    <t xml:space="preserve">S/D/O : SAMRAJ, 2/80, BIKKANAHALLI, MALLUPATTI, DHARMAPURI, GOVT HOSPITAL NEAR, </t>
  </si>
  <si>
    <t>TN25BJ0721</t>
  </si>
  <si>
    <t>MA3EVB11S01865987</t>
  </si>
  <si>
    <t>F8BIN5091563</t>
  </si>
  <si>
    <t>MARUTI SUZUKI OMNI E MPI STD BS IV PETROL</t>
  </si>
  <si>
    <t>TVS/1516</t>
  </si>
  <si>
    <t>RD904971694IN</t>
  </si>
  <si>
    <t>TN3004TW0089307</t>
  </si>
  <si>
    <t>2019-07-30</t>
  </si>
  <si>
    <t>Mr.THEERTHAGIRI P</t>
  </si>
  <si>
    <t xml:space="preserve">S/D/O : PONNUSAMY, 1/372 MOPPIRIPATTI PUDHUR, MOPPIRIPATTI, WATER TANK, </t>
  </si>
  <si>
    <t>TN29BS6216</t>
  </si>
  <si>
    <t>MD621HP11K1F04343</t>
  </si>
  <si>
    <t>CP1FK1204383</t>
  </si>
  <si>
    <t>TVS/1517</t>
  </si>
  <si>
    <t>RD904971703IN</t>
  </si>
  <si>
    <t>TN3004TW0082469</t>
  </si>
  <si>
    <t>2018-10-29</t>
  </si>
  <si>
    <t>Mrs.SEVVANTHI S</t>
  </si>
  <si>
    <t>SUDHAKAR</t>
  </si>
  <si>
    <t xml:space="preserve">S/D/O : SUDHAKAR, 47A J J STREET, KAMBAINALLUR, WATER TANK, </t>
  </si>
  <si>
    <t>TN29BT7756</t>
  </si>
  <si>
    <t>MD626AG77J2H96828</t>
  </si>
  <si>
    <t>AG7HJ2X17417</t>
  </si>
  <si>
    <t>TVS/1518</t>
  </si>
  <si>
    <t>RD904971717IN</t>
  </si>
  <si>
    <t>TN3007TW0122514</t>
  </si>
  <si>
    <t>Mr.VENKATESAN N</t>
  </si>
  <si>
    <t>NARAYANAN</t>
  </si>
  <si>
    <t>S/D/O : NARAYANAN, 4/149,1 ARUNDHATHIYAR STREET, CHINNAKAMANPATTI, RAMAKRISHNA KOVIL, SATTUR VIRUDUHUNAGAR</t>
  </si>
  <si>
    <t>TN67BK8533</t>
  </si>
  <si>
    <t>MD621BP27L1K18209</t>
  </si>
  <si>
    <t>BP2KL1316696</t>
  </si>
  <si>
    <t>TVS/1519</t>
  </si>
  <si>
    <t>RD904971725IN</t>
  </si>
  <si>
    <t>TN3000TW0105273</t>
  </si>
  <si>
    <t>2021-01-01</t>
  </si>
  <si>
    <t>Mr.SELVA GANAPATHI A</t>
  </si>
  <si>
    <t>ANANTHAN</t>
  </si>
  <si>
    <t>S/D/O : ANANTHAN, NO. 203, KARUKKU STREET, KACHIPATTU, SRIPERUMENTHUR, SBM TRADERS, KANCHIPURAM</t>
  </si>
  <si>
    <t>MD626CG5XL1P01808</t>
  </si>
  <si>
    <t>CG5PL1800441</t>
  </si>
  <si>
    <t>TVS/1520</t>
  </si>
  <si>
    <t>RD904971734IN</t>
  </si>
  <si>
    <t>TN3004TW0100136</t>
  </si>
  <si>
    <t>2021-01-11</t>
  </si>
  <si>
    <t>Mr.NEPPOLIYAN P</t>
  </si>
  <si>
    <t>PARAMASIVAM</t>
  </si>
  <si>
    <t>S/D/O : PARAMASIVAM, 78 SIVA COLONY, PAPPARAPPATTI VILL, PO,, PENNAGARAM TK,  DHARMAPURI DT,, MARIYAMMAN KOVIL NEAR, DHARMAPURI</t>
  </si>
  <si>
    <t>TN29BP3433</t>
  </si>
  <si>
    <t>MD626CG57L1L12883</t>
  </si>
  <si>
    <t>CG5LL1107633</t>
  </si>
  <si>
    <t>TVS/1521</t>
  </si>
  <si>
    <t>RD904971748IN</t>
  </si>
  <si>
    <t>TN3006TW0121519</t>
  </si>
  <si>
    <t>Mr.KUBENDRAMAAN SINGH P</t>
  </si>
  <si>
    <t>PANDIYAN</t>
  </si>
  <si>
    <t xml:space="preserve">S/D/O : PANDIYAN, 40 CSM COMPOUNT, KAMUTHI, NEAR SANTHAIPETTAI, </t>
  </si>
  <si>
    <t>TN65AU4014</t>
  </si>
  <si>
    <t>MD634CE64J2H34593</t>
  </si>
  <si>
    <t>CE6HJ2733718</t>
  </si>
  <si>
    <t>APACHE RTR REAR DISC</t>
  </si>
  <si>
    <t>TVS/1522</t>
  </si>
  <si>
    <t>RD904971751IN</t>
  </si>
  <si>
    <t>TN3004TW0082587</t>
  </si>
  <si>
    <t>Mrs.MAHESWARI M</t>
  </si>
  <si>
    <t>MADHESH</t>
  </si>
  <si>
    <t xml:space="preserve">S/D/O : MADHESH, 2/164 NEW COLONY, KONDAKARAHALLI, NEAR WATER TANK, </t>
  </si>
  <si>
    <t>TN29BJ8577</t>
  </si>
  <si>
    <t>MD626EG49H1F93050</t>
  </si>
  <si>
    <t>EG4FH1497377</t>
  </si>
  <si>
    <t>TVS/1523</t>
  </si>
  <si>
    <t>RD904971765IN</t>
  </si>
  <si>
    <t>TN3008TW0083070</t>
  </si>
  <si>
    <t>2020-08-26</t>
  </si>
  <si>
    <t>Mr.KUMAR K</t>
  </si>
  <si>
    <t xml:space="preserve">S/D/O : KALIYAMOORTHY, 236, MELA STREET, UDAIYALUR, PILLAIYAR TEMPLE, </t>
  </si>
  <si>
    <t>TN68AD5735</t>
  </si>
  <si>
    <t>MD621BP21L1H04341</t>
  </si>
  <si>
    <t>BP2HL1203651</t>
  </si>
  <si>
    <t>TVS/1524</t>
  </si>
  <si>
    <t>RD904971779IN</t>
  </si>
  <si>
    <t>TN3007TW0129647</t>
  </si>
  <si>
    <t>Mrs.HELEN SILVIYAR</t>
  </si>
  <si>
    <t>RAJAKUMAR</t>
  </si>
  <si>
    <t>S/D/O : RAJAKUMAR, 3/45, ADAIYAL , MUDALUR, NEAR TO BUS STOP, TUTICORIN</t>
  </si>
  <si>
    <t>TN92F3933</t>
  </si>
  <si>
    <t>MD621BP24M1G22444</t>
  </si>
  <si>
    <t>BP2GM1X24236</t>
  </si>
  <si>
    <t>TVS/1525</t>
  </si>
  <si>
    <t>RD904971782IN</t>
  </si>
  <si>
    <t>TN3008TW0095826</t>
  </si>
  <si>
    <t>2021-09-20</t>
  </si>
  <si>
    <t>Mr.VIGNESHV</t>
  </si>
  <si>
    <t>VISHWANATHAN</t>
  </si>
  <si>
    <t>S/D/O : VISHWANATHAN, 149A,PARUTHIKUDI PERIYA STREET,SETHUR,MAYILADUTHUR, SETHUR,, NEAR SMALL BRIDGE, MAYILADUTHURAI TK</t>
  </si>
  <si>
    <t>TN82K6466</t>
  </si>
  <si>
    <t>MD625AK26M1H02351</t>
  </si>
  <si>
    <t>CK2HM1402289</t>
  </si>
  <si>
    <t>TVS/1526</t>
  </si>
  <si>
    <t>RD904971796IN</t>
  </si>
  <si>
    <t>TN3008TW0057577</t>
  </si>
  <si>
    <t>Mrs.DHAYANITHYB</t>
  </si>
  <si>
    <t>BHARATHIDASAN</t>
  </si>
  <si>
    <t>S/D/O : BHARATHIDASAN, 19/8 MELA THERU, MANAL MEDU, MAYILADUTHURAI, VALARMATHI MANDAPAM, NAGAI</t>
  </si>
  <si>
    <t>TN82H9459</t>
  </si>
  <si>
    <t>MD626AG76J2E37857</t>
  </si>
  <si>
    <t>AG7EJ2112413</t>
  </si>
  <si>
    <t>TVS/1527</t>
  </si>
  <si>
    <t>RD904971805IN</t>
  </si>
  <si>
    <t>TN3006TW0124626</t>
  </si>
  <si>
    <t>2020-07-15</t>
  </si>
  <si>
    <t>Mr.DURAIRAJ S</t>
  </si>
  <si>
    <t>SEVUGAN</t>
  </si>
  <si>
    <t>S/D/O : SEVUGAN, NO:1045, SAMANTHANPATTI, THIRUPPATHUR, PILLAYAR KOIL NEAR, SIVAGANGA</t>
  </si>
  <si>
    <t>Sivaganga</t>
  </si>
  <si>
    <t>TN63BH9336</t>
  </si>
  <si>
    <t>MD621BP20L1G03291</t>
  </si>
  <si>
    <t>BP2GL1102662</t>
  </si>
  <si>
    <t>TVS/1528</t>
  </si>
  <si>
    <t>RD904971819IN</t>
  </si>
  <si>
    <t>TN3000TW0087804</t>
  </si>
  <si>
    <t>2019-08-07</t>
  </si>
  <si>
    <t>Mrs.RAJASEKARAN P</t>
  </si>
  <si>
    <t xml:space="preserve">S/D/O : PERUMAL, NO 9/14 MUTHUMARIAMMAN KOVIL STREET, SANDROOR PALAYAM, MARRIYAMMAN KOVIL, </t>
  </si>
  <si>
    <t>TN02BR2524</t>
  </si>
  <si>
    <t>MD621HP17K1G04043</t>
  </si>
  <si>
    <t>CP1GK1103961</t>
  </si>
  <si>
    <t>TVS/1529</t>
  </si>
  <si>
    <t>RD904971822IN</t>
  </si>
  <si>
    <t>TN3007TW0122234</t>
  </si>
  <si>
    <t>2020-09-22</t>
  </si>
  <si>
    <t>Mr.SAMUTHIRAM C</t>
  </si>
  <si>
    <t>CHELLASAMI</t>
  </si>
  <si>
    <t>S/D/O : CHELLASAMI, 58,DEVANTHIRAKULA PERIYA STREET, METTUPATTI, BUS STOP, SEITHUR</t>
  </si>
  <si>
    <t>TN84K5987</t>
  </si>
  <si>
    <t>MD621BP24L2K10627</t>
  </si>
  <si>
    <t>BP2KL2403563</t>
  </si>
  <si>
    <t>TVS/1530</t>
  </si>
  <si>
    <t>RD904971836IN</t>
  </si>
  <si>
    <t>TN3008TW0085656</t>
  </si>
  <si>
    <t>Mrs.S KALAIVANI</t>
  </si>
  <si>
    <t>SOLARAJAN</t>
  </si>
  <si>
    <t>S/D/O : SOLARAJAN, 29/2,AMMAN KOVIL THEARU, AMMAPETTAI, CHRUCH NEAT, ANAKUDI,THIRUVIDAIMARUTHUR</t>
  </si>
  <si>
    <t>TN68AD3145</t>
  </si>
  <si>
    <t>MD621BP29L1K45184</t>
  </si>
  <si>
    <t>BP2KL1742495</t>
  </si>
  <si>
    <t>TVS/1531</t>
  </si>
  <si>
    <t>RD904971840IN</t>
  </si>
  <si>
    <t>TN3006TW0125922</t>
  </si>
  <si>
    <t>Mr.ARUMUGAM C</t>
  </si>
  <si>
    <t>CHENNIYAPPAN</t>
  </si>
  <si>
    <t>S/D/O : CHENNIYAPPAN, 9-1-37A/5, PUTHUPATTI, MURUGAN TEMPLE NEAR, NILAKOTTAI,DINDINGUL</t>
  </si>
  <si>
    <t>TN57CZ2270</t>
  </si>
  <si>
    <t>MD621BP2XL1H37029</t>
  </si>
  <si>
    <t>BP2HL1934431</t>
  </si>
  <si>
    <t>TVS/1532</t>
  </si>
  <si>
    <t>RD904971853IN</t>
  </si>
  <si>
    <t>TN3007TW0133008</t>
  </si>
  <si>
    <t>2021-12-16</t>
  </si>
  <si>
    <t>Mr.SURESHS</t>
  </si>
  <si>
    <t>SANTHANASAMY</t>
  </si>
  <si>
    <t>S/D/O : SANTHANASAMY, 153-4,11M,WATER ROAD, SIVAGIRI, SIVAGIRI TK, PILLAIYAR KOVIL NEAR, TENKASI DT</t>
  </si>
  <si>
    <t>TN79K0697</t>
  </si>
  <si>
    <t>MD621BP29M2N10617</t>
  </si>
  <si>
    <t>BP2NM2001432</t>
  </si>
  <si>
    <t>TVS/1533</t>
  </si>
  <si>
    <t>RD904971867IN</t>
  </si>
  <si>
    <t>TN3006TW0118453</t>
  </si>
  <si>
    <t>2019-09-30</t>
  </si>
  <si>
    <t>Mr.VAJEER SULTHAN A</t>
  </si>
  <si>
    <t>AHAMED IBRAHIM</t>
  </si>
  <si>
    <t xml:space="preserve">S/D/O : AHAMED IBRAHIM, 7/330/45, DR ILLAM, PUDHU NAGAR, EMANESWARAM, PARAMAKUDI, NEAR PILLAIYAR KOVIL, </t>
  </si>
  <si>
    <t>TN65AV9276</t>
  </si>
  <si>
    <t>MD625HF12K1F16359</t>
  </si>
  <si>
    <t>KF1FK1723016</t>
  </si>
  <si>
    <t>TVS/1534</t>
  </si>
  <si>
    <t>RD904971875IN</t>
  </si>
  <si>
    <t>TN3007TW0123004</t>
  </si>
  <si>
    <t>2020-10-24</t>
  </si>
  <si>
    <t>Miss.RAJESWARI M</t>
  </si>
  <si>
    <t>MARIAPPAN</t>
  </si>
  <si>
    <t>S/D/O : MARIAPPAN, NO:12/85,NORTH STREET, UPPUVANIAMUTHUR, NEAR BY AMMAN KOVIL, VELLANKULI</t>
  </si>
  <si>
    <t>TN76BZ6211</t>
  </si>
  <si>
    <t>MD626AK17L2L02390</t>
  </si>
  <si>
    <t>AK1LL2102259</t>
  </si>
  <si>
    <t>TVS/1535</t>
  </si>
  <si>
    <t>RD904971884IN</t>
  </si>
  <si>
    <t>PY3001TW0146220</t>
  </si>
  <si>
    <t>2020-10-03</t>
  </si>
  <si>
    <t>Mr.KARNAN B</t>
  </si>
  <si>
    <t>BALAKRISHNAN</t>
  </si>
  <si>
    <t>S/D/O : BALAKRISHNAN, 40,KANNIAMMAN KOIL STREET, VENNAIYUR, NEAR KANNIAMMANKOIL, KATTUMANNARKOIL TALUK CUDDALORE</t>
  </si>
  <si>
    <t>TN91J6738</t>
  </si>
  <si>
    <t>MD625BK20L1K05569</t>
  </si>
  <si>
    <t>BK2KL1005417</t>
  </si>
  <si>
    <t>TVS/1536</t>
  </si>
  <si>
    <t>RD904971898IN</t>
  </si>
  <si>
    <t>KA3009TW0193679</t>
  </si>
  <si>
    <t>Mr.MURUGESHKADHIRAVEL</t>
  </si>
  <si>
    <t>KADHIRAVEL</t>
  </si>
  <si>
    <t>S/D/O : KADHIRAVEL, 1/59 BELAGONDAPPALLI, BELAGONDAPALLI, NEAR SHANIMAHATHMA TEMPLE, PEDDABELAGONDAPALLI</t>
  </si>
  <si>
    <t>KA59H6946</t>
  </si>
  <si>
    <t>MD626CG59M1C21909</t>
  </si>
  <si>
    <t>CG5CM1902762</t>
  </si>
  <si>
    <t>TVS/1537</t>
  </si>
  <si>
    <t>RD904971907IN</t>
  </si>
  <si>
    <t>TN3000TW0078856</t>
  </si>
  <si>
    <t>2019-01-10</t>
  </si>
  <si>
    <t>Mrs.THULASIA</t>
  </si>
  <si>
    <t>ARULDASS</t>
  </si>
  <si>
    <t>S/D/O : ARULDASS, NO 41, KANNABIRAN STREET,, N G O NAGAR, PONNERI TOWN,, NEAR L N G COLONY BACK SIDE, TIRUVALLUR</t>
  </si>
  <si>
    <t>TN18AX7670</t>
  </si>
  <si>
    <t>MD626AG71J2N11988</t>
  </si>
  <si>
    <t>AG7NJ2X10980</t>
  </si>
  <si>
    <t>TVS/1538</t>
  </si>
  <si>
    <t>RD904971915IN</t>
  </si>
  <si>
    <t>TN3008TW0094297</t>
  </si>
  <si>
    <t>2021-08-11</t>
  </si>
  <si>
    <t>Mr.SUGANRAJK</t>
  </si>
  <si>
    <t>KRISHNAMOORTHY</t>
  </si>
  <si>
    <t>S/D/O : KRISHNAMOORTHY, 1,SOUTH MARIYAMMAN KOVIL , THERU,THILLAIYADI,THARANGAMBAD THILLAIYADI,, NEAR MARIYAMMAN KOVIL, THARANGAMABDI TK</t>
  </si>
  <si>
    <t>TN82K4206</t>
  </si>
  <si>
    <t>MD621BP26M1C30629</t>
  </si>
  <si>
    <t>BP2CM1926831</t>
  </si>
  <si>
    <t>TVS/1539</t>
  </si>
  <si>
    <t>RD904971924IN</t>
  </si>
  <si>
    <t>TN3008TW0092998</t>
  </si>
  <si>
    <t>2021-07-09</t>
  </si>
  <si>
    <t>Mr.SARANRAJK</t>
  </si>
  <si>
    <t>S/D/O : KALIYAMOORTHY, 2/91 MELA ADIDRAVIDAR ST, OORKUDI, KODAVASAL, KALIYAMMAN KOVIL, THIRUVARUR</t>
  </si>
  <si>
    <t>TN50AJ2381</t>
  </si>
  <si>
    <t>MD626AK35M2F05154</t>
  </si>
  <si>
    <t>AK3FM2705199</t>
  </si>
  <si>
    <t>TVS/1540</t>
  </si>
  <si>
    <t>RD904971938IN</t>
  </si>
  <si>
    <t>TN3000TW0093153</t>
  </si>
  <si>
    <t>2019-12-23</t>
  </si>
  <si>
    <t>Mr.UNUSH MOHIDEEN A</t>
  </si>
  <si>
    <t>ABDUL KADHAR</t>
  </si>
  <si>
    <t xml:space="preserve">S/D/O : ABDUL KADHAR, NO 4 3RD CROSS STREET, ABIRAMI NAGAR NERKUNDRAM, ABIRAMI AMMAN KOVIL, </t>
  </si>
  <si>
    <t>TN02BS1742</t>
  </si>
  <si>
    <t>MD626AG76K2P05367</t>
  </si>
  <si>
    <t>BG7PK2102949</t>
  </si>
  <si>
    <t>TVS/1541</t>
  </si>
  <si>
    <t>RD904971941IN</t>
  </si>
  <si>
    <t>TN3008TW0094484</t>
  </si>
  <si>
    <t>Miss.VANITHAS</t>
  </si>
  <si>
    <t>SELVAKUMAR</t>
  </si>
  <si>
    <t>S/D/O : SELVAKUMAR, NO 3-121,NEERODUN COLONY,KEELAPERUMPALLAM, THARANGAMBADI, PILLAIYAR KOVIL, NAGAPATTINAM</t>
  </si>
  <si>
    <t>TN82K4030</t>
  </si>
  <si>
    <t>MD621BP29M1H03679</t>
  </si>
  <si>
    <t>BP2HM1403535</t>
  </si>
  <si>
    <t>TVS/1542</t>
  </si>
  <si>
    <t>RD904971955IN</t>
  </si>
  <si>
    <t>TN3007TW0129062</t>
  </si>
  <si>
    <t>2021-07-13</t>
  </si>
  <si>
    <t>Mr.MADASAMYK</t>
  </si>
  <si>
    <t>KANAGARAJ</t>
  </si>
  <si>
    <t>S/D/O : KANAGARAJ, NO : 15/2,  BHARATHIYAR 6TH STREET ,, SANKARANKOVIL,, NEAR GITHALAYA THEATRE, THIRUNELVELI.</t>
  </si>
  <si>
    <t>TN79J6729</t>
  </si>
  <si>
    <t>MD625BK29M1D02712</t>
  </si>
  <si>
    <t>BK2DM1X02603</t>
  </si>
  <si>
    <t>TVS/1543</t>
  </si>
  <si>
    <t>RD904971969IN</t>
  </si>
  <si>
    <t>TN3004TW0096823</t>
  </si>
  <si>
    <t>2020-08-23</t>
  </si>
  <si>
    <t>Mrs.MONISHA K</t>
  </si>
  <si>
    <t>MOUNEESWARAN</t>
  </si>
  <si>
    <t>S/D/O : MOUNEESWARAN, 118 MARIAMMANKOVIL STREET, MAGUTTAIPALAYAM SEETHARAMPALAYAM, MARIYAMMAN KOVI NEAR, TIRUCHENGODE NAMAKAL</t>
  </si>
  <si>
    <t>Namakkal</t>
  </si>
  <si>
    <t>TN34AD8057</t>
  </si>
  <si>
    <t>MD626AK13L2H02708</t>
  </si>
  <si>
    <t>AK1HL2702717</t>
  </si>
  <si>
    <t>TVS/1544</t>
  </si>
  <si>
    <t>RD904971972IN</t>
  </si>
  <si>
    <t>TN3008TW0090267</t>
  </si>
  <si>
    <t>2021-03-11</t>
  </si>
  <si>
    <t>Mr.SEKARS</t>
  </si>
  <si>
    <t>SAMMANTHAM</t>
  </si>
  <si>
    <t>S/D/O : SAMMANTHAM, 3-106B, MAIN ROAD, THIRUKODIKAVAL, AYNAR KOVIL, THIRUVIDAIMARUDUR</t>
  </si>
  <si>
    <t>TN68AE2878</t>
  </si>
  <si>
    <t>MD621BP26M1C11062</t>
  </si>
  <si>
    <t>BP2CM1310454</t>
  </si>
  <si>
    <t>TVS/1545</t>
  </si>
  <si>
    <t>RD904971986IN</t>
  </si>
  <si>
    <t>TN3006TW0137924</t>
  </si>
  <si>
    <t>2022-01-21</t>
  </si>
  <si>
    <t>Mr.CHITHABARAMP</t>
  </si>
  <si>
    <t>S/D/O : PANDIYAN, 214 NALLANGUDI DEVAKOTTAI, NALLANGUDI DEVAKOTTAI, NEAR BY BUS STOP, SIVAGANGA</t>
  </si>
  <si>
    <t>TN63CY2920</t>
  </si>
  <si>
    <t>MD621CP24M1P03205</t>
  </si>
  <si>
    <t>BP2PM1814740</t>
  </si>
  <si>
    <t>TVS/1546</t>
  </si>
  <si>
    <t>RD904971990IN</t>
  </si>
  <si>
    <t>TN3004TW0103940</t>
  </si>
  <si>
    <t>2021-08-19</t>
  </si>
  <si>
    <t>Mr.THANGARAJS</t>
  </si>
  <si>
    <t>SUBRAMANI</t>
  </si>
  <si>
    <t>S/D/O : SUBRAMANI, NO:1/241 ANCHOOR, THIRUVANNAMALAI MAIN ROAD, NEAR TEMPLE, KRISHNAGIRI</t>
  </si>
  <si>
    <t>TN24AW7944</t>
  </si>
  <si>
    <t>MD626DG5XM2F02892</t>
  </si>
  <si>
    <t>FG5FM2702864</t>
  </si>
  <si>
    <t>TVS/1547</t>
  </si>
  <si>
    <t>RD904972006IN</t>
  </si>
  <si>
    <t>TN3004TW0100970</t>
  </si>
  <si>
    <t>Mr.SURYAA JAIGANESH</t>
  </si>
  <si>
    <t>JAIGANESH P</t>
  </si>
  <si>
    <t>S/D/O : JAIGANESH P, 5/5C, KAVANAN PLOT,, NADUPATTY, MORASUPATTY PO,, AMALA SCHOOL NEAR, VELLARIVELLI, EDAPPADY, SALEM DT</t>
  </si>
  <si>
    <t>TN52R5976</t>
  </si>
  <si>
    <t>MD637ET18M2B00119</t>
  </si>
  <si>
    <t>DT1AM2302671</t>
  </si>
  <si>
    <t>APACHE 200 4V 2CH - R MODE BSVI</t>
  </si>
  <si>
    <t>TVS/1548</t>
  </si>
  <si>
    <t>RD904972010IN</t>
  </si>
  <si>
    <t>TN3004TW0095192</t>
  </si>
  <si>
    <t>2020-06-24</t>
  </si>
  <si>
    <t>Mr.SAMUVEL A</t>
  </si>
  <si>
    <t>ANAIGOUNDAR K</t>
  </si>
  <si>
    <t>S/D/O : ANAIGOUNDAR K, 2/4-219,VANICHAMPATTI,, CHINNAPPAMPATTI POST,DESAVILAKKU,, WATER TANK NEAR, OMALUR TK, SALEM DT,</t>
  </si>
  <si>
    <t>TN30CY0538</t>
  </si>
  <si>
    <t>MD626CG58L1B13179</t>
  </si>
  <si>
    <t>CG5BL1811061</t>
  </si>
  <si>
    <t>TVS/1549</t>
  </si>
  <si>
    <t>RD904972023IN</t>
  </si>
  <si>
    <t>TN3004TW0098178</t>
  </si>
  <si>
    <t>Mr.BOOBATHI D</t>
  </si>
  <si>
    <t>DHARMALINGAM</t>
  </si>
  <si>
    <t>S/D/O : DHARMALINGAM, 70/80 3RD STREET, ANNA NAGAR, MARIYAMMAN KOVIL NEAR, VALAPADI,SALEM</t>
  </si>
  <si>
    <t>TN54U0497</t>
  </si>
  <si>
    <t>MD626EG5XL1H09664</t>
  </si>
  <si>
    <t>GG5HL1609326</t>
  </si>
  <si>
    <t>TVS/1550</t>
  </si>
  <si>
    <t>RD904972037IN</t>
  </si>
  <si>
    <t>TN3004TW0100800</t>
  </si>
  <si>
    <t>Mrs.DIVYA S</t>
  </si>
  <si>
    <t>SIVARAMAN</t>
  </si>
  <si>
    <t>S/D/O : SIVARAMAN, 2/99, KARATTUPATTI, RASIPURAM, PALVADI SCHOOL NEAR, CHANDRASEKARAPURAM NAMAKKAL</t>
  </si>
  <si>
    <t>TN28BU5288</t>
  </si>
  <si>
    <t>MD626AK16M2AA0461</t>
  </si>
  <si>
    <t>AK1AM23A0603</t>
  </si>
  <si>
    <t>TVS/1551</t>
  </si>
  <si>
    <t>RD904972045IN</t>
  </si>
  <si>
    <t>AP3042UT0004913</t>
  </si>
  <si>
    <t>Andhra Pradesh</t>
  </si>
  <si>
    <t>2019-12-28</t>
  </si>
  <si>
    <t>Mr.MD AMJAD  GORI</t>
  </si>
  <si>
    <t>AFZAL GORI</t>
  </si>
  <si>
    <t xml:space="preserve">S/D/O : AFZAL GORI, 16/11/547, CHINTAL, WARD 16, SHIVA NAGAR, , NEAR FLYOWER BRIDGE, </t>
  </si>
  <si>
    <t>Warangal</t>
  </si>
  <si>
    <t>506002</t>
  </si>
  <si>
    <t>te</t>
  </si>
  <si>
    <t>9177761476</t>
  </si>
  <si>
    <t>AP36AQ2956</t>
  </si>
  <si>
    <t>MD626AG49C1B51046</t>
  </si>
  <si>
    <t>OG4BC1335398</t>
  </si>
  <si>
    <t>TVS/1552</t>
  </si>
  <si>
    <t>RD904972054IN</t>
  </si>
  <si>
    <t>AP3042TW0099669</t>
  </si>
  <si>
    <t>2021-04-30</t>
  </si>
  <si>
    <t>Mr.PITTANUTHAN</t>
  </si>
  <si>
    <t>SATYANARAYANA</t>
  </si>
  <si>
    <t xml:space="preserve">S/D/O : SATYANARAYANA, HNO:16-1-772 SRR THOTA KARIMBAD WARANGAL, , NEAR WATER TANK, </t>
  </si>
  <si>
    <t>8639716451</t>
  </si>
  <si>
    <t>MD626CG50M1C18588</t>
  </si>
  <si>
    <t>DG5CM1X06729</t>
  </si>
  <si>
    <t>TVS/1553</t>
  </si>
  <si>
    <t>RD904972068IN</t>
  </si>
  <si>
    <t>AP3042TW0091550</t>
  </si>
  <si>
    <t>2020-07-09</t>
  </si>
  <si>
    <t>Mr.VEMULA MAHESH</t>
  </si>
  <si>
    <t>VENKATAIAH</t>
  </si>
  <si>
    <t>S/D/O : VENKATAIAH, 6-6-839 SHIVAJINAGAR, KARIMNAGAR, NEAR SS TECNO SCHOOL, KARIMNAGAR</t>
  </si>
  <si>
    <t>Chittoor</t>
  </si>
  <si>
    <t>505001</t>
  </si>
  <si>
    <t>9100527124</t>
  </si>
  <si>
    <t>MD626CG56L1F16979</t>
  </si>
  <si>
    <t>DG5FL1X04059</t>
  </si>
  <si>
    <t>TVS/1554</t>
  </si>
  <si>
    <t>RD904972071IN</t>
  </si>
  <si>
    <t>AP3042TW0106159</t>
  </si>
  <si>
    <t>Mr.SHAIKAKHIL</t>
  </si>
  <si>
    <t xml:space="preserve">S/D/O : ISMAIL, H.NO.1-44/2 KOMATPALLY VILLAGE NANDIPET MANDAL, NIZAMABA, NEAR MAZID, </t>
  </si>
  <si>
    <t>Nizamabad</t>
  </si>
  <si>
    <t>503212</t>
  </si>
  <si>
    <t>7095488929</t>
  </si>
  <si>
    <t>MD625AK23M1N03206</t>
  </si>
  <si>
    <t>CK2NM1X03235</t>
  </si>
  <si>
    <t>TVS/1555</t>
  </si>
  <si>
    <t>RD904972085IN</t>
  </si>
  <si>
    <t>AP3019UT0009287</t>
  </si>
  <si>
    <t>2020-10-26</t>
  </si>
  <si>
    <t>Mrs.LAVANYA  R</t>
  </si>
  <si>
    <t>RAPUR KUMAR</t>
  </si>
  <si>
    <t xml:space="preserve">S/D/O : RAPUR KUMAR, 733 BALAJI NAGAR TIRUMALA, TIRUPATHI CHITTOOR, NEAR TEN SHOPS, </t>
  </si>
  <si>
    <t>517504</t>
  </si>
  <si>
    <t>9032617419</t>
  </si>
  <si>
    <t>TVS/1556</t>
  </si>
  <si>
    <t>RD904972099IN</t>
  </si>
  <si>
    <t>AP3019UT0010925</t>
  </si>
  <si>
    <t>Mr.BANDA  ERANNA</t>
  </si>
  <si>
    <t>BANDA YELLAPPA</t>
  </si>
  <si>
    <t>S/D/O : BANDA YELLAPPA, D NO.9/1142/C/14, SHIVANNA NAGAR,YEMMIGANOOR,, YEMMIGANUR,KURNOOL,, NEAR BY YELLAMMA TEMPLE,, ANDHRA PRADESH,</t>
  </si>
  <si>
    <t>518360</t>
  </si>
  <si>
    <t>9652567274</t>
  </si>
  <si>
    <t>AP21BR0760</t>
  </si>
  <si>
    <t>MD625MF55G1H24920</t>
  </si>
  <si>
    <t>DF5HG1789127</t>
  </si>
  <si>
    <t>TVS/1557</t>
  </si>
  <si>
    <t>RD904972108IN</t>
  </si>
  <si>
    <t>KA3009UT0011218</t>
  </si>
  <si>
    <t>2018-07-30</t>
  </si>
  <si>
    <t>Mr.MALLIKARJUNAREDDY</t>
  </si>
  <si>
    <t>SALAVEERAPPA</t>
  </si>
  <si>
    <t>S/D/O : SALAVEERAPPA, 88-B 3RD MAIN ROAD VSR LAYOUT, BEHIND TIN FACTORY KR PURAM, R R BELIRY, GROUND FLOOR BANGALORE</t>
  </si>
  <si>
    <t>Hyderabad</t>
  </si>
  <si>
    <t>500016</t>
  </si>
  <si>
    <t>9632773320</t>
  </si>
  <si>
    <t>KA01HS6452</t>
  </si>
  <si>
    <t>MD626BG47G1L52596</t>
  </si>
  <si>
    <t>BG4LG1247018</t>
  </si>
  <si>
    <t>TVS/1558</t>
  </si>
  <si>
    <t>RD904972111IN</t>
  </si>
  <si>
    <t>AP3019TW0100630</t>
  </si>
  <si>
    <t>2020-11-27</t>
  </si>
  <si>
    <t>Miss.MANJULA RAMANAMMA</t>
  </si>
  <si>
    <t>MANJULA KASAPPA</t>
  </si>
  <si>
    <t>S/D/O : MANJULA KASAPPA, 2-95,BC COLONY,SANGALA THANDA, BATHALAPALLE, GOVT SCHOOL BACK SIDE, ANANTAPUR</t>
  </si>
  <si>
    <t>Ananthapur</t>
  </si>
  <si>
    <t>515672</t>
  </si>
  <si>
    <t>9989827660</t>
  </si>
  <si>
    <t>AP39FD4189</t>
  </si>
  <si>
    <t>MD625CK21L1C02754</t>
  </si>
  <si>
    <t>AK2CL1802018</t>
  </si>
  <si>
    <t>TVS/1559</t>
  </si>
  <si>
    <t>RD904972125IN</t>
  </si>
  <si>
    <t>AP3019TW0106849</t>
  </si>
  <si>
    <t>Mrs.HARIJANARATHNAMMA</t>
  </si>
  <si>
    <t>HARIJANA DURAGAYYA</t>
  </si>
  <si>
    <t>S/D/O : HARIJANA DURAGAYYA, 2-29 S C COLONY, GOLLAPALLI, NEAR MAIN ROAD, GUMMAGATTA ANANTHAPUR</t>
  </si>
  <si>
    <t>515865</t>
  </si>
  <si>
    <t>9391277833</t>
  </si>
  <si>
    <t>AP39KN3841</t>
  </si>
  <si>
    <t>MD621BP27M1C29070</t>
  </si>
  <si>
    <t>BP2CM1725743</t>
  </si>
  <si>
    <t>TVS/1560</t>
  </si>
  <si>
    <t>RD904972139IN</t>
  </si>
  <si>
    <t>AP3021TW0101094</t>
  </si>
  <si>
    <t>Mr.SHAJAHAN BANO</t>
  </si>
  <si>
    <t>KHAJAPASHA</t>
  </si>
  <si>
    <t xml:space="preserve">S/D/O : KHAJAPASHA, 12-2-422/87, PRIYA COLONY, NEAR HOTAL, </t>
  </si>
  <si>
    <t>500028</t>
  </si>
  <si>
    <t>9014157281</t>
  </si>
  <si>
    <t>MD626EG40K1H18590</t>
  </si>
  <si>
    <t>EG4HK1014166</t>
  </si>
  <si>
    <t>TVS/1561</t>
  </si>
  <si>
    <t>RD904972142IN</t>
  </si>
  <si>
    <t>AP3020TW0127599</t>
  </si>
  <si>
    <t>2021-04-26</t>
  </si>
  <si>
    <t>Mr.SURYA PRATHAPPOTTHURU</t>
  </si>
  <si>
    <t>KRISHNAIAH</t>
  </si>
  <si>
    <t>S/D/O : KRISHNAIAH, ULAVAPALLI VI, CHEJERLA MD, NEAR GOVT SCHOOL, NELLORE DT</t>
  </si>
  <si>
    <t>Nellore</t>
  </si>
  <si>
    <t>524341</t>
  </si>
  <si>
    <t>9704864644</t>
  </si>
  <si>
    <t>AP39JN3121</t>
  </si>
  <si>
    <t>MD637DE55M2C07350</t>
  </si>
  <si>
    <t>GE5CM2107496</t>
  </si>
  <si>
    <t>TVS/1562</t>
  </si>
  <si>
    <t>RD904972156IN</t>
  </si>
  <si>
    <t>AP3020TW0120536</t>
  </si>
  <si>
    <t>2020-08-31</t>
  </si>
  <si>
    <t>Mr.UYYALA NAGARAJU</t>
  </si>
  <si>
    <t>U ADHI SHESHU</t>
  </si>
  <si>
    <t>S/D/O : U ADHI SHESHU, DR NO:-1-26 UNNAVA, EDLAPADU, NEAR POLLIERAMMA TEMPLE, GUNTUR</t>
  </si>
  <si>
    <t>Guntur</t>
  </si>
  <si>
    <t>522233</t>
  </si>
  <si>
    <t>9010866161</t>
  </si>
  <si>
    <t>AP39FQ2437</t>
  </si>
  <si>
    <t>MD621BP20L1H40165</t>
  </si>
  <si>
    <t>BP2HL1337452</t>
  </si>
  <si>
    <t>TVS/1563</t>
  </si>
  <si>
    <t>RD904972160IN</t>
  </si>
  <si>
    <t>AP3019TW0109600</t>
  </si>
  <si>
    <t>2021-11-26</t>
  </si>
  <si>
    <t>Mrs.BUJJAMMAT</t>
  </si>
  <si>
    <t>T KUPPAIAH</t>
  </si>
  <si>
    <t>S/D/O : T KUPPAIAH, 25-355/2, GANGASARAM V, REDDY GUNTA P, NEAR VINAYAKA TEMPLE, CHITTOOR</t>
  </si>
  <si>
    <t>517002</t>
  </si>
  <si>
    <t>9177609210</t>
  </si>
  <si>
    <t>MD621BP28M1L18479</t>
  </si>
  <si>
    <t>BP2LM1517224</t>
  </si>
  <si>
    <t>TVS/1564</t>
  </si>
  <si>
    <t>RD904972173IN</t>
  </si>
  <si>
    <t>AP3019TW0110591</t>
  </si>
  <si>
    <t>Mr.TELUGULAKSHMAYYA</t>
  </si>
  <si>
    <t>TELUGU RAMUDU</t>
  </si>
  <si>
    <t>S/D/O : TELUGU RAMUDU, H NO :-2-57  OLD TOWN MANCHALA, MANTRALAYAM, NEAR YALLAMMA TEMPLE, KURNOOL</t>
  </si>
  <si>
    <t>Kurnool</t>
  </si>
  <si>
    <t>518345</t>
  </si>
  <si>
    <t>9989332996</t>
  </si>
  <si>
    <t>AP39MG0116</t>
  </si>
  <si>
    <t>MD621BP29M1N08467</t>
  </si>
  <si>
    <t>BP2NM1108448</t>
  </si>
  <si>
    <t>TVS/1565</t>
  </si>
  <si>
    <t>RD904972187IN</t>
  </si>
  <si>
    <t>AP3019TW0106353</t>
  </si>
  <si>
    <t>Mrs.KAKIRADHA</t>
  </si>
  <si>
    <t>KAKI RAJU</t>
  </si>
  <si>
    <t>S/D/O : KAKI RAJU, H NO 4-103B, B C COLONY, NEAR BRIDGE, BOYAREVULA</t>
  </si>
  <si>
    <t>518533</t>
  </si>
  <si>
    <t>9398616913</t>
  </si>
  <si>
    <t>MD621BP20M2B01893</t>
  </si>
  <si>
    <t>BP2AM2119819</t>
  </si>
  <si>
    <t>TVS/1566</t>
  </si>
  <si>
    <t>RD904972195IN</t>
  </si>
  <si>
    <t>AP3019TW0103246</t>
  </si>
  <si>
    <t>2021-02-28</t>
  </si>
  <si>
    <t>Mr.BOYANINGAPPA</t>
  </si>
  <si>
    <t>BOYA GANGAPPA</t>
  </si>
  <si>
    <t>S/D/O : BOYA GANGAPPA, DNO,0 BC COLONY CHERLOPALLI VILLAGE, SHETURU, BC COLONY NEAR, ANANTAPUR DISTRICK</t>
  </si>
  <si>
    <t>515766</t>
  </si>
  <si>
    <t>9010241510</t>
  </si>
  <si>
    <t>AP39JT5934</t>
  </si>
  <si>
    <t>MD621BP28M1A34692</t>
  </si>
  <si>
    <t>BP2AM1829943</t>
  </si>
  <si>
    <t>TVS/1567</t>
  </si>
  <si>
    <t>RD904972200IN</t>
  </si>
  <si>
    <t>AP3019TW0106570</t>
  </si>
  <si>
    <t>2021-07-30</t>
  </si>
  <si>
    <t>Mr.GODUGUNURURAVI PRAKASH</t>
  </si>
  <si>
    <t>JAYARAJ</t>
  </si>
  <si>
    <t>S/D/O : JAYARAJ, 11/2/11, DIGUVAPALEM, NEAR CHURCH, BADVEL</t>
  </si>
  <si>
    <t>Cuddapah</t>
  </si>
  <si>
    <t>516227</t>
  </si>
  <si>
    <t>9844110573</t>
  </si>
  <si>
    <t>AP39KY9536</t>
  </si>
  <si>
    <t>MD626AK38M2F06749</t>
  </si>
  <si>
    <t>AK3EM2608591</t>
  </si>
  <si>
    <t>TVS/1568</t>
  </si>
  <si>
    <t>RD904972213IN</t>
  </si>
  <si>
    <t>AP3021TW0096420</t>
  </si>
  <si>
    <t>2019-03-11</t>
  </si>
  <si>
    <t>Mr.PRADEEP BAHADOOR</t>
  </si>
  <si>
    <t>NEER BAHADOOR</t>
  </si>
  <si>
    <t xml:space="preserve">S/D/O : NEER BAHADOOR, H NO 11-11-437, SOWBHAGYAPURAM R K NAGAR, NEAR  PRAGATHI SCHOOL, </t>
  </si>
  <si>
    <t>500035</t>
  </si>
  <si>
    <t>9100742527</t>
  </si>
  <si>
    <t>TS08GL4136</t>
  </si>
  <si>
    <t>MD626AG7XK2B16745</t>
  </si>
  <si>
    <t>AG7BK2913044</t>
  </si>
  <si>
    <t>TVS/1569</t>
  </si>
  <si>
    <t>RD904972227IN</t>
  </si>
  <si>
    <t>AP3021TW0100638</t>
  </si>
  <si>
    <t>2019-09-09</t>
  </si>
  <si>
    <t>Mrs.SYEDA TAMEEM</t>
  </si>
  <si>
    <t>MIRZA AZHAR BAIG</t>
  </si>
  <si>
    <t xml:space="preserve">S/D/O : MIRZA AZHAR BAIG, 16-7-314/201,2ND FLOOR, AZAMPURA, SAFIYA MASJID, </t>
  </si>
  <si>
    <t>500023</t>
  </si>
  <si>
    <t>9347230804</t>
  </si>
  <si>
    <t>TS12EN8658</t>
  </si>
  <si>
    <t>MD626EG49K1H21178</t>
  </si>
  <si>
    <t>EG4HK1616022</t>
  </si>
  <si>
    <t>TVS/1570</t>
  </si>
  <si>
    <t>RD904972235IN</t>
  </si>
  <si>
    <t>AP3020TW0131069</t>
  </si>
  <si>
    <t>Mr.DAMALALENIN</t>
  </si>
  <si>
    <t>NAGESWARA RAO</t>
  </si>
  <si>
    <t>S/D/O : NAGESWARA RAO, DNO 4-81, S C COLONY VEERULAPADU YSR BOMMA ROAD, YSR ROAD, VEERULAPDU KRISHNA</t>
  </si>
  <si>
    <t>Krishna</t>
  </si>
  <si>
    <t>521170</t>
  </si>
  <si>
    <t>9948808932</t>
  </si>
  <si>
    <t>AP39KX2917</t>
  </si>
  <si>
    <t>MD625BK22M1C02421</t>
  </si>
  <si>
    <t>BK2CM1202454</t>
  </si>
  <si>
    <t>TVS/1571</t>
  </si>
  <si>
    <t>RD904972244IN</t>
  </si>
  <si>
    <t>AP3020TW0132654</t>
  </si>
  <si>
    <t>2021-10-29</t>
  </si>
  <si>
    <t>Miss.DUVVURUSUREKHA</t>
  </si>
  <si>
    <t>SHESHAGIRI</t>
  </si>
  <si>
    <t>S/D/O : SHESHAGIRI, 00 THALLAPUDI, MUTHUKUR, NEAR RAMALAYAM, NELLORE</t>
  </si>
  <si>
    <t>524346</t>
  </si>
  <si>
    <t>8466084702</t>
  </si>
  <si>
    <t>AP39LR1814</t>
  </si>
  <si>
    <t>MD621BP26M1H14297</t>
  </si>
  <si>
    <t>BP2HM1713290</t>
  </si>
  <si>
    <t>TVS/1572</t>
  </si>
  <si>
    <t>RD904972258IN</t>
  </si>
  <si>
    <t>AP3020TW0123036</t>
  </si>
  <si>
    <t>Mr.SAYAD BAJI</t>
  </si>
  <si>
    <t>MAHABOOB SAYAD</t>
  </si>
  <si>
    <t>S/D/O : MAHABOOB SAYAD, DR.NO.1-77, GANIKIPUDI VILLAGE, NEAR MAHABOOB JANI KARAM MILL, PRATHIPADU MD,GUNTUR</t>
  </si>
  <si>
    <t>522019</t>
  </si>
  <si>
    <t>9966147551</t>
  </si>
  <si>
    <t>AP39HF7698</t>
  </si>
  <si>
    <t>MD621BP28L2K32209</t>
  </si>
  <si>
    <t>BP2KL2214651</t>
  </si>
  <si>
    <t>TVS/1573</t>
  </si>
  <si>
    <t>RD904972261IN</t>
  </si>
  <si>
    <t>AP3021TW0102352</t>
  </si>
  <si>
    <t>Mrs.SHAIK MEERA BEE</t>
  </si>
  <si>
    <t>SHAIK RAHIM PASHA</t>
  </si>
  <si>
    <t xml:space="preserve">S/D/O : SHAIK RAHIM PASHA, 2-1-296,N H9,SMT SCHOOL AREA,SURYAPET, , MAIN ROAD, </t>
  </si>
  <si>
    <t>Nalgonda</t>
  </si>
  <si>
    <t>508207</t>
  </si>
  <si>
    <t>9618281686</t>
  </si>
  <si>
    <t>MD621HP14K1H13933</t>
  </si>
  <si>
    <t>CP1HK1213588</t>
  </si>
  <si>
    <t>TVS/1574</t>
  </si>
  <si>
    <t>RD904972275IN</t>
  </si>
  <si>
    <t>AP3021CA0006587</t>
  </si>
  <si>
    <t>2017-09-23</t>
  </si>
  <si>
    <t>Mr.PAPAGOUNIRAJU</t>
  </si>
  <si>
    <t>CHANDRAIAH</t>
  </si>
  <si>
    <t>S/D/O : CHANDRAIAH, 3-28 JAGDEVPUR HANDAL CHINNA, KISTAPUR SIDDIPET, NEAR HANUMAN TEMPLE, MEDAK</t>
  </si>
  <si>
    <t>Medak</t>
  </si>
  <si>
    <t>502301</t>
  </si>
  <si>
    <t>9948236312</t>
  </si>
  <si>
    <t>TS05EF2979</t>
  </si>
  <si>
    <t>MAJBXXMRTBFC74807</t>
  </si>
  <si>
    <t>FC74807</t>
  </si>
  <si>
    <t>FORD FIESTA CLASSIC 1.4 TDCI TITANIUM DIESEL 2015</t>
  </si>
  <si>
    <t>TVS/1575</t>
  </si>
  <si>
    <t>RD904972289IN</t>
  </si>
  <si>
    <t>AP3019CA0002870</t>
  </si>
  <si>
    <t>2019-11-16</t>
  </si>
  <si>
    <t>Mr.V PRAVEENKUMAR</t>
  </si>
  <si>
    <t>V JEEVA RAJU</t>
  </si>
  <si>
    <t>S/D/O : V JEEVA RAJU, 2 976 A JAYANAGAR COLONY, TADIPATRI, NEAR CHOWDESWARI TEMPLE, ANANTAPUR</t>
  </si>
  <si>
    <t>515411</t>
  </si>
  <si>
    <t>9885551223</t>
  </si>
  <si>
    <t>AP39BJ0639</t>
  </si>
  <si>
    <t>MBJB4ZBT5000863260814</t>
  </si>
  <si>
    <t>1ND1377818</t>
  </si>
  <si>
    <t>TOYOTA ETIOS GD DIESEL</t>
  </si>
  <si>
    <t>TVS/1576</t>
  </si>
  <si>
    <t>RD904972292IN</t>
  </si>
  <si>
    <t>AP3020TW0134387</t>
  </si>
  <si>
    <t>2021-12-31</t>
  </si>
  <si>
    <t>Mrs.VASIMALLACHANDRIKA</t>
  </si>
  <si>
    <t>YESUBABU</t>
  </si>
  <si>
    <t>S/D/O : YESUBABU, 44660, S.C COLONY, KOYAVARIPALEM, PRATHIPADU MANDAL, NEAR CHRUCH, ENAMADALA, GUNTUR</t>
  </si>
  <si>
    <t>AP39LY6965</t>
  </si>
  <si>
    <t>MD625CK28M1H03139</t>
  </si>
  <si>
    <t>AK2HM1802201</t>
  </si>
  <si>
    <t>TVS/1577</t>
  </si>
  <si>
    <t>RD904972301IN</t>
  </si>
  <si>
    <t>AP3020TW0135530</t>
  </si>
  <si>
    <t>2022-02-16</t>
  </si>
  <si>
    <t>Mr.UPPALAPATIMOHAN</t>
  </si>
  <si>
    <t>JAN BABU</t>
  </si>
  <si>
    <t xml:space="preserve">S/D/O : JAN BABU, D.NO: 2-128, SIRIPUDI, NEAR LIBRARY, NAGARAM GUNTURE </t>
  </si>
  <si>
    <t>AP39MH8930</t>
  </si>
  <si>
    <t>MD626EG51M1B09312</t>
  </si>
  <si>
    <t>GG5BM1109081</t>
  </si>
  <si>
    <t>TVS/1578</t>
  </si>
  <si>
    <t>RD904972315IN</t>
  </si>
  <si>
    <t>AP3020TW0135486</t>
  </si>
  <si>
    <t>2022-02-14</t>
  </si>
  <si>
    <t>Mrs.PACCHIGOLLAKAMALAKUMARI</t>
  </si>
  <si>
    <t>PRABHAKAR</t>
  </si>
  <si>
    <t>S/D/O : PRABHAKAR, D NO :6-11A, VELLATURU, CSI CHARCH, G KONDURU</t>
  </si>
  <si>
    <t>AP39MG4372</t>
  </si>
  <si>
    <t>MD621BP29M1P01721</t>
  </si>
  <si>
    <t>BP2PM1202103</t>
  </si>
  <si>
    <t>TVS/1579</t>
  </si>
  <si>
    <t>RD904972329IN</t>
  </si>
  <si>
    <t>AP3020TW0116841</t>
  </si>
  <si>
    <t>Mrs.SHAIK SHAKEELA</t>
  </si>
  <si>
    <t>NAJEER</t>
  </si>
  <si>
    <t>S/D/O : NAJEER, 2-101 HARIJANAWADA, UGUTURU MANDALAM POTTIPADU, NEAR C S I CHURCH ROAD, KRISHNA</t>
  </si>
  <si>
    <t>MD626AG37L2A00045</t>
  </si>
  <si>
    <t>AG3AL26N2959</t>
  </si>
  <si>
    <t>TVS/1580</t>
  </si>
  <si>
    <t>RD904972332IN</t>
  </si>
  <si>
    <t>AP3020TW0131162</t>
  </si>
  <si>
    <t>2021-09-29</t>
  </si>
  <si>
    <t>Mrs.PALLEBOINAANNAMMA</t>
  </si>
  <si>
    <t>KOTESWARARAO</t>
  </si>
  <si>
    <t>S/D/O : KOTESWARARAO, 0-00, GULLAPALLI , BORLAMMA DONKA ST COLONY, GULLAPALLI,GUNTUR</t>
  </si>
  <si>
    <t>AP39KY4988</t>
  </si>
  <si>
    <t>MD621BP27M1K12184</t>
  </si>
  <si>
    <t>BP2KM1311066</t>
  </si>
  <si>
    <t>TVS/1581</t>
  </si>
  <si>
    <t>RD904972346IN</t>
  </si>
  <si>
    <t>AP3020TW0134938</t>
  </si>
  <si>
    <t>Mr.YALAMANDAMARPU</t>
  </si>
  <si>
    <t>ANANDARAO</t>
  </si>
  <si>
    <t>S/D/O : ANANDARAO, 2-168, KONDUBHOTLAVARI PALEM, NEAR SALMON CHURCHU, KONDUBHOTLAVARI PALEM BAPATLA</t>
  </si>
  <si>
    <t>AP39MC5400</t>
  </si>
  <si>
    <t>MD621BP26M1P55719</t>
  </si>
  <si>
    <t>BP2PM1516574</t>
  </si>
  <si>
    <t>TVS/1582</t>
  </si>
  <si>
    <t>RD904972350IN</t>
  </si>
  <si>
    <t>AP3020TW0130862</t>
  </si>
  <si>
    <t>2021-09-17</t>
  </si>
  <si>
    <t>Mr.JALLASRINIVASARAO</t>
  </si>
  <si>
    <t>S/D/O : SATYANARAYANA, DNO 2-63/2, KATTUBADI PALEM, MPUP SCHOOL, PINAPAKA</t>
  </si>
  <si>
    <t>AP39KV0452</t>
  </si>
  <si>
    <t>MD621BP2XM1G01517</t>
  </si>
  <si>
    <t>BP2GM1101541</t>
  </si>
  <si>
    <t>TVS/1583</t>
  </si>
  <si>
    <t>RD904972363IN</t>
  </si>
  <si>
    <t>AP3020TW0134645</t>
  </si>
  <si>
    <t>Mrs.PIDUGUJOHN</t>
  </si>
  <si>
    <t>PICCAIAH</t>
  </si>
  <si>
    <t>S/D/O : PICCAIAH, WB-8-91, BETHANY COLONY, NEAR ELIMENTRY SCHOOL, BAPATLA GUNTUR</t>
  </si>
  <si>
    <t>AP39LZ9904</t>
  </si>
  <si>
    <t>MD626AK47M1P04007</t>
  </si>
  <si>
    <t>BK4PM1302456</t>
  </si>
  <si>
    <t>JUPITER 125 BSVI - DISC</t>
  </si>
  <si>
    <t>TVS/1584</t>
  </si>
  <si>
    <t>RD904972377IN</t>
  </si>
  <si>
    <t>AP3075TW0049926</t>
  </si>
  <si>
    <t>Mrs.GANTYADAKANAKAMAHALAKSHMI</t>
  </si>
  <si>
    <t>GANTYADA UMA MAHESWAR RAO</t>
  </si>
  <si>
    <t>S/D/O : GANTYADA UMA MAHESWAR RAO, 38/4/81/A   MAHARANI STREET, MARRIPALEM, NEAR SHIVA LAYHAM TEMPLE OPP, VISAKHAPATNAM</t>
  </si>
  <si>
    <t>Visakhapatnam</t>
  </si>
  <si>
    <t>MD626AK11M2H03650</t>
  </si>
  <si>
    <t>AK1HM2703542</t>
  </si>
  <si>
    <t>TVS/1585</t>
  </si>
  <si>
    <t>RD904972385IN</t>
  </si>
  <si>
    <t>STATE</t>
  </si>
  <si>
    <t>*get details state wise from BASE DATA</t>
  </si>
  <si>
    <t>substitute function not allowed</t>
  </si>
  <si>
    <t>vlookup</t>
  </si>
  <si>
    <t>array</t>
  </si>
  <si>
    <t>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</si>
</sst>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2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rial Black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92D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color theme="1"/>
      <name val="Calibri"/>
      <family val="2"/>
      <scheme val="minor"/>
    </font>
    <font>
      <sz val="11"/>
      <color theme="1"/>
      <name val="Aparajita"/>
      <family val="1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2" fillId="3" borderId="1" xfId="0" applyFont="1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3" fillId="10" borderId="1" xfId="0" applyFont="1" applyFill="1" applyBorder="1" applyAlignment="1">
      <alignment horizontal="center"/>
    </xf>
    <xf numFmtId="0" fontId="3" fillId="10" borderId="1" xfId="0" applyFont="1" applyFill="1" applyBorder="1"/>
    <xf numFmtId="0" fontId="0" fillId="9" borderId="1" xfId="0" applyFill="1" applyBorder="1"/>
    <xf numFmtId="0" fontId="6" fillId="9" borderId="1" xfId="0" applyFont="1" applyFill="1" applyBorder="1"/>
    <xf numFmtId="0" fontId="5" fillId="0" borderId="1" xfId="0" applyFont="1" applyBorder="1"/>
    <xf numFmtId="0" fontId="1" fillId="11" borderId="1" xfId="0" applyFont="1" applyFill="1" applyBorder="1"/>
    <xf numFmtId="0" fontId="6" fillId="0" borderId="1" xfId="0" applyFont="1" applyBorder="1"/>
    <xf numFmtId="0" fontId="0" fillId="13" borderId="1" xfId="0" applyFill="1" applyBorder="1" applyAlignment="1">
      <alignment horizontal="center"/>
    </xf>
    <xf numFmtId="0" fontId="9" fillId="8" borderId="1" xfId="0" applyFont="1" applyFill="1" applyBorder="1"/>
    <xf numFmtId="0" fontId="9" fillId="8" borderId="1" xfId="0" applyFont="1" applyFill="1" applyBorder="1" applyAlignment="1">
      <alignment horizontal="center"/>
    </xf>
    <xf numFmtId="0" fontId="8" fillId="9" borderId="1" xfId="0" applyFont="1" applyFill="1" applyBorder="1"/>
    <xf numFmtId="0" fontId="8" fillId="14" borderId="1" xfId="0" applyFont="1" applyFill="1" applyBorder="1"/>
    <xf numFmtId="0" fontId="9" fillId="12" borderId="1" xfId="0" applyFont="1" applyFill="1" applyBorder="1" applyAlignment="1">
      <alignment horizontal="center"/>
    </xf>
    <xf numFmtId="0" fontId="8" fillId="4" borderId="1" xfId="0" applyFont="1" applyFill="1" applyBorder="1"/>
    <xf numFmtId="0" fontId="0" fillId="4" borderId="1" xfId="0" applyFill="1" applyBorder="1"/>
    <xf numFmtId="0" fontId="10" fillId="15" borderId="1" xfId="0" applyFont="1" applyFill="1" applyBorder="1"/>
    <xf numFmtId="0" fontId="10" fillId="15" borderId="1" xfId="0" applyFont="1" applyFill="1" applyBorder="1" applyAlignment="1">
      <alignment horizontal="center"/>
    </xf>
    <xf numFmtId="0" fontId="0" fillId="5" borderId="1" xfId="0" applyFill="1" applyBorder="1"/>
    <xf numFmtId="0" fontId="10" fillId="16" borderId="1" xfId="0" applyFont="1" applyFill="1" applyBorder="1"/>
    <xf numFmtId="0" fontId="0" fillId="17" borderId="1" xfId="0" applyFill="1" applyBorder="1"/>
    <xf numFmtId="0" fontId="0" fillId="18" borderId="1" xfId="0" applyFill="1" applyBorder="1"/>
    <xf numFmtId="0" fontId="0" fillId="7" borderId="1" xfId="0" applyFill="1" applyBorder="1"/>
    <xf numFmtId="0" fontId="1" fillId="19" borderId="1" xfId="0" applyFont="1" applyFill="1" applyBorder="1"/>
    <xf numFmtId="0" fontId="6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6" fillId="3" borderId="1" xfId="0" applyFont="1" applyFill="1" applyBorder="1"/>
    <xf numFmtId="0" fontId="6" fillId="21" borderId="1" xfId="0" applyFont="1" applyFill="1" applyBorder="1"/>
    <xf numFmtId="0" fontId="6" fillId="14" borderId="1" xfId="0" applyFont="1" applyFill="1" applyBorder="1"/>
    <xf numFmtId="0" fontId="6" fillId="22" borderId="1" xfId="0" applyFont="1" applyFill="1" applyBorder="1"/>
    <xf numFmtId="0" fontId="6" fillId="23" borderId="1" xfId="0" applyFont="1" applyFill="1" applyBorder="1"/>
    <xf numFmtId="0" fontId="6" fillId="17" borderId="1" xfId="0" applyFont="1" applyFill="1" applyBorder="1"/>
    <xf numFmtId="0" fontId="6" fillId="24" borderId="1" xfId="0" applyFont="1" applyFill="1" applyBorder="1"/>
    <xf numFmtId="0" fontId="6" fillId="25" borderId="1" xfId="0" applyFont="1" applyFill="1" applyBorder="1"/>
    <xf numFmtId="0" fontId="1" fillId="26" borderId="1" xfId="0" applyFont="1" applyFill="1" applyBorder="1"/>
    <xf numFmtId="0" fontId="1" fillId="27" borderId="1" xfId="0" applyFont="1" applyFill="1" applyBorder="1"/>
    <xf numFmtId="0" fontId="0" fillId="0" borderId="4" xfId="0" applyBorder="1"/>
    <xf numFmtId="14" fontId="0" fillId="0" borderId="1" xfId="0" applyNumberFormat="1" applyBorder="1"/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28" borderId="0" xfId="0" applyFill="1" applyAlignment="1">
      <alignment vertical="center"/>
    </xf>
    <xf numFmtId="0" fontId="0" fillId="28" borderId="7" xfId="0" applyFill="1" applyBorder="1" applyAlignment="1">
      <alignment vertical="center"/>
    </xf>
    <xf numFmtId="0" fontId="1" fillId="16" borderId="8" xfId="0" applyFont="1" applyFill="1" applyBorder="1" applyAlignment="1">
      <alignment vertical="center"/>
    </xf>
    <xf numFmtId="0" fontId="0" fillId="30" borderId="8" xfId="0" applyFill="1" applyBorder="1" applyAlignment="1">
      <alignment vertical="center" wrapText="1"/>
    </xf>
    <xf numFmtId="0" fontId="0" fillId="30" borderId="8" xfId="0" applyFill="1" applyBorder="1" applyAlignment="1">
      <alignment vertical="center"/>
    </xf>
    <xf numFmtId="0" fontId="1" fillId="29" borderId="0" xfId="0" applyFont="1" applyFill="1"/>
    <xf numFmtId="0" fontId="0" fillId="31" borderId="1" xfId="0" applyFill="1" applyBorder="1"/>
    <xf numFmtId="0" fontId="0" fillId="14" borderId="1" xfId="0" applyFill="1" applyBorder="1"/>
    <xf numFmtId="0" fontId="0" fillId="32" borderId="1" xfId="0" applyFill="1" applyBorder="1"/>
    <xf numFmtId="0" fontId="0" fillId="12" borderId="1" xfId="0" applyFill="1" applyBorder="1"/>
    <xf numFmtId="0" fontId="0" fillId="29" borderId="1" xfId="0" applyFill="1" applyBorder="1"/>
    <xf numFmtId="0" fontId="0" fillId="13" borderId="1" xfId="0" applyFill="1" applyBorder="1"/>
    <xf numFmtId="0" fontId="0" fillId="31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32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1" fillId="33" borderId="9" xfId="0" applyFont="1" applyFill="1" applyBorder="1"/>
    <xf numFmtId="0" fontId="0" fillId="0" borderId="1" xfId="0" applyBorder="1" applyAlignment="1">
      <alignment horizontal="right"/>
    </xf>
    <xf numFmtId="0" fontId="2" fillId="0" borderId="1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4" borderId="1" xfId="0" applyFill="1" applyBorder="1" applyAlignment="1">
      <alignment horizontal="left"/>
    </xf>
    <xf numFmtId="0" fontId="1" fillId="21" borderId="1" xfId="0" applyFont="1" applyFill="1" applyBorder="1"/>
    <xf numFmtId="0" fontId="0" fillId="0" borderId="0" xfId="0" applyAlignment="1">
      <alignment horizontal="center"/>
    </xf>
    <xf numFmtId="0" fontId="1" fillId="16" borderId="1" xfId="0" applyFont="1" applyFill="1" applyBorder="1"/>
    <xf numFmtId="0" fontId="1" fillId="16" borderId="1" xfId="0" applyFont="1" applyFill="1" applyBorder="1" applyAlignment="1">
      <alignment horizontal="center"/>
    </xf>
    <xf numFmtId="0" fontId="1" fillId="15" borderId="1" xfId="0" applyFont="1" applyFill="1" applyBorder="1"/>
    <xf numFmtId="0" fontId="1" fillId="15" borderId="1" xfId="0" applyFont="1" applyFill="1" applyBorder="1" applyAlignment="1">
      <alignment horizontal="center"/>
    </xf>
    <xf numFmtId="0" fontId="0" fillId="34" borderId="1" xfId="0" applyFill="1" applyBorder="1"/>
    <xf numFmtId="0" fontId="0" fillId="18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12" borderId="1" xfId="0" applyFill="1" applyBorder="1" applyAlignment="1">
      <alignment horizontal="right"/>
    </xf>
    <xf numFmtId="0" fontId="6" fillId="35" borderId="1" xfId="0" applyFont="1" applyFill="1" applyBorder="1" applyAlignment="1">
      <alignment horizontal="center"/>
    </xf>
    <xf numFmtId="0" fontId="6" fillId="17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35" borderId="4" xfId="0" applyFill="1" applyBorder="1"/>
    <xf numFmtId="0" fontId="24" fillId="4" borderId="1" xfId="0" applyFont="1" applyFill="1" applyBorder="1"/>
    <xf numFmtId="15" fontId="0" fillId="0" borderId="1" xfId="0" applyNumberFormat="1" applyBorder="1"/>
    <xf numFmtId="0" fontId="2" fillId="3" borderId="5" xfId="0" applyFont="1" applyFill="1" applyBorder="1"/>
    <xf numFmtId="0" fontId="2" fillId="3" borderId="18" xfId="0" applyFont="1" applyFill="1" applyBorder="1"/>
    <xf numFmtId="164" fontId="0" fillId="36" borderId="1" xfId="0" applyNumberFormat="1" applyFill="1" applyBorder="1"/>
    <xf numFmtId="0" fontId="26" fillId="0" borderId="21" xfId="0" applyFont="1" applyBorder="1"/>
    <xf numFmtId="15" fontId="26" fillId="0" borderId="21" xfId="0" applyNumberFormat="1" applyFont="1" applyBorder="1"/>
    <xf numFmtId="0" fontId="26" fillId="0" borderId="22" xfId="0" applyFont="1" applyBorder="1"/>
    <xf numFmtId="0" fontId="26" fillId="0" borderId="23" xfId="0" applyFont="1" applyBorder="1"/>
    <xf numFmtId="15" fontId="26" fillId="0" borderId="23" xfId="0" applyNumberFormat="1" applyFont="1" applyBorder="1"/>
    <xf numFmtId="0" fontId="26" fillId="0" borderId="1" xfId="0" applyFont="1" applyBorder="1"/>
    <xf numFmtId="0" fontId="0" fillId="34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12" borderId="0" xfId="0" applyFill="1"/>
    <xf numFmtId="0" fontId="0" fillId="29" borderId="0" xfId="0" applyFill="1"/>
    <xf numFmtId="0" fontId="0" fillId="24" borderId="0" xfId="0" applyFill="1"/>
    <xf numFmtId="0" fontId="0" fillId="37" borderId="0" xfId="0" applyFill="1"/>
    <xf numFmtId="0" fontId="0" fillId="3" borderId="24" xfId="0" applyFill="1" applyBorder="1"/>
    <xf numFmtId="0" fontId="0" fillId="34" borderId="24" xfId="0" applyFill="1" applyBorder="1"/>
    <xf numFmtId="0" fontId="0" fillId="0" borderId="24" xfId="0" applyBorder="1"/>
    <xf numFmtId="0" fontId="2" fillId="34" borderId="0" xfId="0" applyFont="1" applyFill="1"/>
    <xf numFmtId="0" fontId="0" fillId="0" borderId="1" xfId="0" quotePrefix="1" applyBorder="1"/>
    <xf numFmtId="14" fontId="0" fillId="0" borderId="1" xfId="0" quotePrefix="1" applyNumberFormat="1" applyBorder="1"/>
    <xf numFmtId="49" fontId="0" fillId="0" borderId="1" xfId="0" quotePrefix="1" applyNumberFormat="1" applyBorder="1"/>
    <xf numFmtId="0" fontId="0" fillId="0" borderId="20" xfId="0" applyBorder="1"/>
    <xf numFmtId="0" fontId="0" fillId="0" borderId="0" xfId="0" quotePrefix="1"/>
    <xf numFmtId="49" fontId="0" fillId="0" borderId="1" xfId="0" applyNumberFormat="1" applyBorder="1"/>
    <xf numFmtId="0" fontId="2" fillId="34" borderId="1" xfId="0" applyFont="1" applyFill="1" applyBorder="1"/>
    <xf numFmtId="0" fontId="0" fillId="24" borderId="1" xfId="0" applyFill="1" applyBorder="1"/>
    <xf numFmtId="0" fontId="27" fillId="12" borderId="20" xfId="0" applyFont="1" applyFill="1" applyBorder="1" applyAlignment="1">
      <alignment horizontal="center"/>
    </xf>
    <xf numFmtId="0" fontId="2" fillId="3" borderId="3" xfId="0" applyFont="1" applyFill="1" applyBorder="1"/>
    <xf numFmtId="0" fontId="7" fillId="10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20" borderId="3" xfId="0" applyFont="1" applyFill="1" applyBorder="1" applyAlignment="1">
      <alignment horizontal="left"/>
    </xf>
    <xf numFmtId="0" fontId="1" fillId="20" borderId="0" xfId="0" applyFont="1" applyFill="1" applyAlignment="1">
      <alignment horizontal="left"/>
    </xf>
    <xf numFmtId="0" fontId="6" fillId="8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2" xfId="0" applyFill="1" applyBorder="1" applyAlignment="1">
      <alignment horizontal="center"/>
    </xf>
    <xf numFmtId="0" fontId="4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2" xfId="0" applyFill="1" applyBorder="1" applyAlignment="1">
      <alignment horizontal="center"/>
    </xf>
    <xf numFmtId="0" fontId="4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2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5" fillId="7" borderId="20" xfId="0" applyFont="1" applyFill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25" fillId="7" borderId="19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00FF00"/>
      <color rgb="FFCCFFFF"/>
      <color rgb="FF9D26BE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559405</xdr:colOff>
      <xdr:row>3</xdr:row>
      <xdr:rowOff>45361</xdr:rowOff>
    </xdr:from>
    <xdr:to>
      <xdr:col>0</xdr:col>
      <xdr:colOff>1064813</xdr:colOff>
      <xdr:row>5</xdr:row>
      <xdr:rowOff>36722</xdr:rowOff>
    </xdr:to>
    <xdr:sp macro="" textlink="">
      <xdr:nvSpPr>
        <xdr:cNvPr id="2" name="Arrow: Bent-Up 1">
          <a:extLst>
            <a:ext uri="{FF2B5EF4-FFF2-40B4-BE49-F238E27FC236}">
              <a16:creationId xmlns:a16="http://schemas.microsoft.com/office/drawing/2014/main" id="{BB9F06EF-7D76-E674-D451-16772DBF6ED7}"/>
            </a:ext>
          </a:extLst>
        </xdr:cNvPr>
        <xdr:cNvSpPr/>
      </xdr:nvSpPr>
      <xdr:spPr>
        <a:xfrm rot="5400000">
          <a:off x="630680" y="531331"/>
          <a:ext cx="362857" cy="505408"/>
        </a:xfrm>
        <a:prstGeom prst="bentUpArrow">
          <a:avLst>
            <a:gd name="adj1" fmla="val 16667"/>
            <a:gd name="adj2" fmla="val 24404"/>
            <a:gd name="adj3" fmla="val 23809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551980</xdr:colOff>
      <xdr:row>3</xdr:row>
      <xdr:rowOff>37931</xdr:rowOff>
    </xdr:from>
    <xdr:to>
      <xdr:col>10</xdr:col>
      <xdr:colOff>1057388</xdr:colOff>
      <xdr:row>5</xdr:row>
      <xdr:rowOff>29292</xdr:rowOff>
    </xdr:to>
    <xdr:sp macro="" textlink="">
      <xdr:nvSpPr>
        <xdr:cNvPr id="3" name="Arrow: Bent-Up 2">
          <a:extLst>
            <a:ext uri="{FF2B5EF4-FFF2-40B4-BE49-F238E27FC236}">
              <a16:creationId xmlns:a16="http://schemas.microsoft.com/office/drawing/2014/main" id="{9EDF696C-CB65-A90F-93F6-A4FEBF6ECA0B}"/>
            </a:ext>
          </a:extLst>
        </xdr:cNvPr>
        <xdr:cNvSpPr/>
      </xdr:nvSpPr>
      <xdr:spPr>
        <a:xfrm rot="5400000">
          <a:off x="9189275" y="523901"/>
          <a:ext cx="362857" cy="505408"/>
        </a:xfrm>
        <a:prstGeom prst="bentUpArrow">
          <a:avLst>
            <a:gd name="adj1" fmla="val 16667"/>
            <a:gd name="adj2" fmla="val 24404"/>
            <a:gd name="adj3" fmla="val 23809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613664</xdr:colOff>
      <xdr:row>3</xdr:row>
      <xdr:rowOff>34821</xdr:rowOff>
    </xdr:from>
    <xdr:to>
      <xdr:col>5</xdr:col>
      <xdr:colOff>1119072</xdr:colOff>
      <xdr:row>5</xdr:row>
      <xdr:rowOff>26182</xdr:rowOff>
    </xdr:to>
    <xdr:sp macro="" textlink="">
      <xdr:nvSpPr>
        <xdr:cNvPr id="4" name="Arrow: Bent-Up 3">
          <a:extLst>
            <a:ext uri="{FF2B5EF4-FFF2-40B4-BE49-F238E27FC236}">
              <a16:creationId xmlns:a16="http://schemas.microsoft.com/office/drawing/2014/main" id="{87DF1BC6-13ED-4A39-3612-0D9F45754132}"/>
            </a:ext>
          </a:extLst>
        </xdr:cNvPr>
        <xdr:cNvSpPr/>
      </xdr:nvSpPr>
      <xdr:spPr>
        <a:xfrm rot="5400000">
          <a:off x="4935551" y="520791"/>
          <a:ext cx="362857" cy="505408"/>
        </a:xfrm>
        <a:prstGeom prst="bentUpArrow">
          <a:avLst>
            <a:gd name="adj1" fmla="val 16667"/>
            <a:gd name="adj2" fmla="val 24404"/>
            <a:gd name="adj3" fmla="val 23809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572365</xdr:colOff>
      <xdr:row>3</xdr:row>
      <xdr:rowOff>19442</xdr:rowOff>
    </xdr:from>
    <xdr:to>
      <xdr:col>0</xdr:col>
      <xdr:colOff>1077773</xdr:colOff>
      <xdr:row>5</xdr:row>
      <xdr:rowOff>10802</xdr:rowOff>
    </xdr:to>
    <xdr:sp macro="" textlink="">
      <xdr:nvSpPr>
        <xdr:cNvPr id="5" name="Arrow: Bent-Up 4">
          <a:extLst>
            <a:ext uri="{FF2B5EF4-FFF2-40B4-BE49-F238E27FC236}">
              <a16:creationId xmlns:a16="http://schemas.microsoft.com/office/drawing/2014/main" id="{4E48CB00-92E0-4246-8CA0-5E71A8DE5B5D}"/>
            </a:ext>
          </a:extLst>
        </xdr:cNvPr>
        <xdr:cNvSpPr/>
      </xdr:nvSpPr>
      <xdr:spPr>
        <a:xfrm rot="5400000">
          <a:off x="645239" y="499018"/>
          <a:ext cx="359660" cy="505408"/>
        </a:xfrm>
        <a:prstGeom prst="bentUpArrow">
          <a:avLst>
            <a:gd name="adj1" fmla="val 16667"/>
            <a:gd name="adj2" fmla="val 24404"/>
            <a:gd name="adj3" fmla="val 23809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551980</xdr:colOff>
      <xdr:row>3</xdr:row>
      <xdr:rowOff>33611</xdr:rowOff>
    </xdr:from>
    <xdr:to>
      <xdr:col>10</xdr:col>
      <xdr:colOff>1057388</xdr:colOff>
      <xdr:row>5</xdr:row>
      <xdr:rowOff>24971</xdr:rowOff>
    </xdr:to>
    <xdr:sp macro="" textlink="">
      <xdr:nvSpPr>
        <xdr:cNvPr id="6" name="Arrow: Bent-Up 5">
          <a:extLst>
            <a:ext uri="{FF2B5EF4-FFF2-40B4-BE49-F238E27FC236}">
              <a16:creationId xmlns:a16="http://schemas.microsoft.com/office/drawing/2014/main" id="{39907A97-180F-40C6-A641-44138B5B8C31}"/>
            </a:ext>
          </a:extLst>
        </xdr:cNvPr>
        <xdr:cNvSpPr/>
      </xdr:nvSpPr>
      <xdr:spPr>
        <a:xfrm rot="5400000">
          <a:off x="9197354" y="513187"/>
          <a:ext cx="359660" cy="505408"/>
        </a:xfrm>
        <a:prstGeom prst="bentUpArrow">
          <a:avLst>
            <a:gd name="adj1" fmla="val 16667"/>
            <a:gd name="adj2" fmla="val 24404"/>
            <a:gd name="adj3" fmla="val 23809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622303</xdr:colOff>
      <xdr:row>3</xdr:row>
      <xdr:rowOff>21861</xdr:rowOff>
    </xdr:from>
    <xdr:to>
      <xdr:col>5</xdr:col>
      <xdr:colOff>1127711</xdr:colOff>
      <xdr:row>5</xdr:row>
      <xdr:rowOff>13221</xdr:rowOff>
    </xdr:to>
    <xdr:sp macro="" textlink="">
      <xdr:nvSpPr>
        <xdr:cNvPr id="7" name="Arrow: Bent-Up 6">
          <a:extLst>
            <a:ext uri="{FF2B5EF4-FFF2-40B4-BE49-F238E27FC236}">
              <a16:creationId xmlns:a16="http://schemas.microsoft.com/office/drawing/2014/main" id="{E1511C59-E40F-4825-9E05-30C4C67CB3EF}"/>
            </a:ext>
          </a:extLst>
        </xdr:cNvPr>
        <xdr:cNvSpPr/>
      </xdr:nvSpPr>
      <xdr:spPr>
        <a:xfrm rot="5400000">
          <a:off x="4949677" y="501437"/>
          <a:ext cx="359660" cy="505408"/>
        </a:xfrm>
        <a:prstGeom prst="bentUpArrow">
          <a:avLst>
            <a:gd name="adj1" fmla="val 16667"/>
            <a:gd name="adj2" fmla="val 24404"/>
            <a:gd name="adj3" fmla="val 23809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B070A-0E0F-4BB9-A646-8C88DBAFE008}">
  <sheetPr codeName="Sheet4"/>
  <dimension ref="A1:I26"/>
  <sheetViews>
    <sheetView tabSelected="1" topLeftCell="E2" zoomScale="158" workbookViewId="0">
      <selection activeCell="J13" sqref="J13"/>
    </sheetView>
  </sheetViews>
  <sheetFormatPr defaultRowHeight="14.4" x14ac:dyDescent="0.3"/>
  <cols>
    <col min="1" max="1" width="24.88671875" bestFit="1" customWidth="1"/>
    <col min="2" max="2" width="16.21875" customWidth="1"/>
    <col min="3" max="3" width="15.5546875" customWidth="1"/>
    <col min="4" max="4" width="22" customWidth="1"/>
    <col min="5" max="5" width="43.5546875" customWidth="1"/>
    <col min="6" max="6" width="25.6640625" bestFit="1" customWidth="1"/>
    <col min="7" max="7" width="15.5546875" customWidth="1"/>
    <col min="8" max="8" width="14.77734375" customWidth="1"/>
    <col min="9" max="9" width="19" customWidth="1"/>
    <col min="11" max="11" width="25.44140625" bestFit="1" customWidth="1"/>
    <col min="12" max="12" width="11.21875" bestFit="1" customWidth="1"/>
    <col min="13" max="13" width="10.21875" bestFit="1" customWidth="1"/>
    <col min="14" max="14" width="10.6640625" bestFit="1" customWidth="1"/>
  </cols>
  <sheetData>
    <row r="1" spans="1:9" x14ac:dyDescent="0.3">
      <c r="A1" s="136" t="s">
        <v>165</v>
      </c>
      <c r="B1" s="136"/>
      <c r="C1" s="136"/>
      <c r="D1" s="136"/>
      <c r="F1" s="136" t="s">
        <v>168</v>
      </c>
      <c r="G1" s="136"/>
      <c r="H1" s="136"/>
      <c r="I1" s="136"/>
    </row>
    <row r="2" spans="1:9" x14ac:dyDescent="0.3">
      <c r="A2" s="6" t="s">
        <v>107</v>
      </c>
      <c r="B2" s="6" t="s">
        <v>108</v>
      </c>
      <c r="C2" s="6" t="s">
        <v>110</v>
      </c>
      <c r="D2" s="6" t="s">
        <v>109</v>
      </c>
      <c r="E2" s="134" t="s">
        <v>7248</v>
      </c>
      <c r="F2" s="6" t="s">
        <v>107</v>
      </c>
      <c r="G2" s="6" t="s">
        <v>128</v>
      </c>
      <c r="H2" s="6" t="s">
        <v>129</v>
      </c>
      <c r="I2" s="6" t="s">
        <v>130</v>
      </c>
    </row>
    <row r="3" spans="1:9" x14ac:dyDescent="0.3">
      <c r="A3" s="14" t="s">
        <v>111</v>
      </c>
      <c r="B3" s="14" t="s">
        <v>112</v>
      </c>
      <c r="C3" s="13"/>
      <c r="D3" s="14" t="s">
        <v>122</v>
      </c>
      <c r="F3" s="14" t="s">
        <v>132</v>
      </c>
      <c r="G3" s="14" t="str">
        <f t="array" ref="G3">IFERROR(LEFT(F3,FIND("-",F3)-1),LEFT(F3,FIND("+",F3)-1))</f>
        <v>Rahul</v>
      </c>
      <c r="H3" s="13" t="str">
        <f t="array" ref="H3">IFERROR(MID(F4,FIND("-",F4)+1,FIND("-",F4,FIND("-",F4)+1)-1-FIND("-",F4)),MID(F4,FIND("+",F4)+1,FIND("+",F4,FIND("+",F4)+1)-1-FIND("+",F4)))</f>
        <v>singh</v>
      </c>
      <c r="I3" s="14" t="str">
        <f t="array" ref="I3">IFERROR(RIGHT(F3,LEN(F3)-FIND("-",F3,FIND("-",F3)+1)),RIGHT(F3,LEN(F3)-FIND("+",F3,FIND("+",F3)+1)))</f>
        <v>rathore</v>
      </c>
    </row>
    <row r="4" spans="1:9" x14ac:dyDescent="0.3">
      <c r="A4" s="14" t="s">
        <v>113</v>
      </c>
      <c r="B4" s="14" t="s">
        <v>114</v>
      </c>
      <c r="C4" s="13"/>
      <c r="D4" s="14" t="s">
        <v>123</v>
      </c>
      <c r="F4" s="14" t="s">
        <v>131</v>
      </c>
      <c r="G4" s="14" t="str">
        <f t="array" ref="G4">IFERROR(LEFT(F4,FIND("-",F4)-1),LEFT(F4,FIND("+",F4)-1))</f>
        <v>Sid</v>
      </c>
      <c r="H4" s="13" t="str">
        <f t="array" ref="H4">IFERROR(MID(F5,FIND("-",F5)+1,FIND("-",F5,FIND("-",F5)+1)-1-FIND("-",F5)),MID(F5,FIND("+",F5)+1,FIND("+",F5,FIND("+",F5)+1)-1-FIND("+",F5)))</f>
        <v>kumar</v>
      </c>
      <c r="I4" s="14" t="str">
        <f t="array" ref="I4">IFERROR(RIGHT(F4,LEN(F4)-FIND("-",F4,FIND("-",F4)+1)),RIGHT(F4,LEN(F4)-FIND("+",F4,FIND("+",F4)+1)))</f>
        <v>rawat</v>
      </c>
    </row>
    <row r="5" spans="1:9" x14ac:dyDescent="0.3">
      <c r="A5" s="14" t="s">
        <v>115</v>
      </c>
      <c r="B5" s="14" t="s">
        <v>116</v>
      </c>
      <c r="C5" s="13"/>
      <c r="D5" s="14" t="s">
        <v>124</v>
      </c>
      <c r="F5" s="14" t="s">
        <v>151</v>
      </c>
      <c r="G5" s="14" t="str">
        <f t="array" ref="G5">IFERROR(LEFT(F5,FIND("-",F5)-1),LEFT(F5,FIND("+",F5)-1))</f>
        <v>Amit</v>
      </c>
      <c r="H5" s="13" t="str">
        <f t="array" ref="H5">IFERROR(MID(F6,FIND("-",F6)+1,FIND("-",F6,FIND("-",F6)+1)-1-FIND("-",F6)),MID(F6,FIND("+",F6)+1,FIND("+",F6,FIND("+",F6)+1)-1-FIND("+",F6)))</f>
        <v>rastogy</v>
      </c>
      <c r="I5" s="14" t="str">
        <f t="array" ref="I5">IFERROR(RIGHT(F5,LEN(F5)-FIND("-",F5,FIND("-",F5)+1)),RIGHT(F5,LEN(F5)-FIND("+",F5,FIND("+",F5)+1)))</f>
        <v>shrivastav</v>
      </c>
    </row>
    <row r="6" spans="1:9" x14ac:dyDescent="0.3">
      <c r="A6" s="14" t="s">
        <v>117</v>
      </c>
      <c r="B6" s="14" t="s">
        <v>113</v>
      </c>
      <c r="C6" s="13"/>
      <c r="D6" s="14" t="s">
        <v>125</v>
      </c>
      <c r="F6" s="14" t="s">
        <v>152</v>
      </c>
      <c r="G6" s="14" t="str">
        <f t="array" ref="G6">IFERROR(LEFT(F6,FIND("-",F6)-1),LEFT(F6,FIND("+",F6)-1))</f>
        <v>Prajakta</v>
      </c>
      <c r="H6" s="13" t="str">
        <f t="array" ref="H6">IFERROR(MID(F7,FIND("-",F7)+1,FIND("-",F7,FIND("-",F7)+1)-1-FIND("-",F7)),MID(F7,FIND("+",F7)+1,FIND("+",F7,FIND("+",F7)+1)-1-FIND("+",F7)))</f>
        <v>pandey</v>
      </c>
      <c r="I6" s="14" t="str">
        <f t="array" ref="I6">IFERROR(RIGHT(F6,LEN(F6)-FIND("-",F6,FIND("-",F6)+1)),RIGHT(F6,LEN(F6)-FIND("+",F6,FIND("+",F6)+1)))</f>
        <v>agnivanshi</v>
      </c>
    </row>
    <row r="7" spans="1:9" x14ac:dyDescent="0.3">
      <c r="A7" s="14" t="s">
        <v>118</v>
      </c>
      <c r="B7" s="14" t="s">
        <v>119</v>
      </c>
      <c r="C7" s="13"/>
      <c r="D7" s="14" t="s">
        <v>126</v>
      </c>
      <c r="F7" s="14" t="s">
        <v>153</v>
      </c>
      <c r="G7" s="14" t="str">
        <f t="array" ref="G7">IFERROR(LEFT(F7,FIND("-",F7)-1),LEFT(F7,FIND("+",F7)-1))</f>
        <v>shreya</v>
      </c>
      <c r="H7" s="13" t="str">
        <f t="array" ref="H7">IFERROR(MID(F8,FIND("-",F8)+1,FIND("-",F8,FIND("-",F8)+1)-1-FIND("-",F8)),MID(F8,FIND("+",F8)+1,FIND("+",F8,FIND("+",F8)+1)-1-FIND("+",F8)))</f>
        <v>khand</v>
      </c>
      <c r="I7" s="14" t="str">
        <f t="array" ref="I7">IFERROR(RIGHT(F7,LEN(F7)-FIND("-",F7,FIND("-",F7)+1)),RIGHT(F7,LEN(F7)-FIND("+",F7,FIND("+",F7)+1)))</f>
        <v>sharma</v>
      </c>
    </row>
    <row r="8" spans="1:9" x14ac:dyDescent="0.3">
      <c r="A8" s="14" t="s">
        <v>120</v>
      </c>
      <c r="B8" s="14" t="s">
        <v>121</v>
      </c>
      <c r="C8" s="13"/>
      <c r="D8" s="14" t="s">
        <v>127</v>
      </c>
      <c r="F8" s="14" t="s">
        <v>136</v>
      </c>
      <c r="G8" s="14" t="str">
        <f t="array" ref="G8">IFERROR(LEFT(F8,FIND("-",F8)-1),LEFT(F8,FIND("+",F8)-1))</f>
        <v>abhay</v>
      </c>
      <c r="H8" s="13" t="e">
        <f t="array" ref="H8">IFERROR(MID(F9,FIND("-",F9)+1,FIND("-",F9,FIND("-",F9)+1)-1-FIND("-",F9)),MID(F9,FIND("+",F9)+1,FIND("+",F9,FIND("+",F9)+1)-1-FIND("+",F9)))</f>
        <v>#VALUE!</v>
      </c>
      <c r="I8" s="14" t="str">
        <f t="array" ref="I8">IFERROR(RIGHT(F8,LEN(F8)-FIND("-",F8,FIND("-",F8)+1)),RIGHT(F8,LEN(F8)-FIND("+",F8,FIND("+",F8)+1)))</f>
        <v>maheshwari</v>
      </c>
    </row>
    <row r="10" spans="1:9" x14ac:dyDescent="0.3">
      <c r="A10" s="136" t="s">
        <v>166</v>
      </c>
      <c r="B10" s="136"/>
      <c r="C10" s="136"/>
      <c r="D10" s="136"/>
      <c r="F10" s="136" t="s">
        <v>169</v>
      </c>
      <c r="G10" s="136"/>
      <c r="H10" s="136"/>
      <c r="I10" s="136"/>
    </row>
    <row r="11" spans="1:9" x14ac:dyDescent="0.3">
      <c r="A11" s="6" t="s">
        <v>107</v>
      </c>
      <c r="B11" s="6" t="s">
        <v>128</v>
      </c>
      <c r="C11" s="6" t="s">
        <v>129</v>
      </c>
      <c r="D11" s="6" t="s">
        <v>130</v>
      </c>
      <c r="F11" s="6" t="s">
        <v>107</v>
      </c>
      <c r="G11" s="6" t="s">
        <v>128</v>
      </c>
      <c r="H11" s="6" t="s">
        <v>129</v>
      </c>
      <c r="I11" s="6" t="s">
        <v>130</v>
      </c>
    </row>
    <row r="12" spans="1:9" x14ac:dyDescent="0.3">
      <c r="A12" s="14" t="s">
        <v>159</v>
      </c>
      <c r="B12" s="14" t="str">
        <f>LEFT(A12,FIND(" ",A12)-1)</f>
        <v>Rahul</v>
      </c>
      <c r="C12" s="13" t="str">
        <f t="array" ref="C12">MID(A12,FIND(" ",A12)+1,FIND(" ",A12,FIND(" ",A12)+1)-1-FIND(" ",A12))</f>
        <v>singh</v>
      </c>
      <c r="D12" s="14" t="str">
        <f t="array" ref="D12">RIGHT(A12,LEN(A12)-FIND(" ",A12,FIND(" ",A12)+1))</f>
        <v>rathore</v>
      </c>
      <c r="F12" s="14" t="s">
        <v>154</v>
      </c>
      <c r="G12" s="14" t="str">
        <f t="array" ref="G12">IFERROR(LEFT(F12,FIND("-",F12)-1),LEFT(F12,FIND("+",F12)-1))</f>
        <v>Rahul</v>
      </c>
      <c r="H12" s="13" t="str">
        <f t="array" ref="H12">IFERROR(MID(F12,FIND("-",F12)+1,FIND("+",F12,FIND("-",F12)+1)-1-FIND("-",F12)),MID(F12,FIND("+",F12)+1,FIND("-",F12,FIND("+",F12)+1)-1-FIND("+",F12)))</f>
        <v>singh</v>
      </c>
      <c r="I12" s="14" t="str">
        <f t="array" ref="I12">IFERROR(RIGHT(F12,LEN(F12)-FIND("+",F12,FIND("+",F12))),RIGHT(F12,LEN(F12)-FIND("-",F12,FIND("-",F12))))</f>
        <v>rathore</v>
      </c>
    </row>
    <row r="13" spans="1:9" x14ac:dyDescent="0.3">
      <c r="A13" s="14" t="s">
        <v>160</v>
      </c>
      <c r="B13" s="14" t="str">
        <f t="array" ref="B13">LEFT(A13,FIND(" ",A13)-1)</f>
        <v>Sid</v>
      </c>
      <c r="C13" s="13" t="str">
        <f t="array" ref="C13">MID(A13,FIND(" ",A13)+1,FIND(" ",A13,FIND(" ",A13)+1)-1-FIND(" ",A13))</f>
        <v>singh</v>
      </c>
      <c r="D13" s="14" t="str">
        <f t="array" ref="D13">RIGHT(A13,LEN(A13)-FIND(" ",A13,FIND(" ",A13)+1))</f>
        <v>rawat</v>
      </c>
      <c r="F13" s="14" t="s">
        <v>155</v>
      </c>
      <c r="G13" s="14" t="str">
        <f t="array" ref="G13">IFERROR(LEFT(F13,FIND("-",F13)-1),LEFT(F13,FIND("+",F13)-1))</f>
        <v>Sid+singh</v>
      </c>
      <c r="H13" s="13" t="str">
        <f t="array" ref="H13">IFERROR(MID(F13,FIND("-",F13)+1,FIND("+",F13,FIND("-",F13)+1)-1-FIND("-",F13)),MID(F13,FIND("+",F13)+1,FIND("-",F13,FIND("+",F13)+1)-1-FIND("+",F13)))</f>
        <v>singh</v>
      </c>
      <c r="I13" s="14" t="str">
        <f t="array" ref="I13">IFERROR(RIGHT(F13,LEN(F13)-FIND("+",F13,FIND("+",F13))),RIGHT(F13,LEN(F13)-FIND("-",F13,FIND("-",F13))))</f>
        <v>singh-rawat</v>
      </c>
    </row>
    <row r="14" spans="1:9" x14ac:dyDescent="0.3">
      <c r="A14" s="14" t="s">
        <v>161</v>
      </c>
      <c r="B14" s="14" t="str">
        <f t="array" ref="B14">LEFT(A14,FIND(" ",A14)-1)</f>
        <v>Amit</v>
      </c>
      <c r="C14" s="13" t="str">
        <f t="array" ref="C14">MID(A14,FIND(" ",A14)+1,FIND(" ",A14,FIND(" ",A14)+1)-1-FIND(" ",A14))</f>
        <v>kumar</v>
      </c>
      <c r="D14" s="14" t="str">
        <f t="array" ref="D14">RIGHT(A14,LEN(A14)-FIND(" ",A14,FIND(" ",A14)+1))</f>
        <v>shrivastav</v>
      </c>
      <c r="F14" s="14" t="s">
        <v>133</v>
      </c>
      <c r="G14" s="14" t="str">
        <f t="array" ref="G14">IFERROR(LEFT(F14,FIND("-",F14)-1),LEFT(F14,FIND("+",F14)-1))</f>
        <v>Amit</v>
      </c>
      <c r="H14" s="13" t="e">
        <f t="array" ref="H14">IFERROR(MID(F14,FIND("-",F14)+1,FIND("+",F14,FIND("-",F14)+1)-1-FIND("-",F14)),MID(F14,FIND("+",F14)+1,FIND("-",F14,FIND("+",F14)+1)-1-FIND("+",F14)))</f>
        <v>#VALUE!</v>
      </c>
      <c r="I14" s="14" t="str">
        <f t="array" ref="I14">IFERROR(RIGHT(F14,LEN(F14)-FIND("+",F14,FIND("+",F14))),RIGHT(F14,LEN(F14)-FIND("-",F14,FIND("-",F14))))</f>
        <v>kumar-shrivastav</v>
      </c>
    </row>
    <row r="15" spans="1:9" x14ac:dyDescent="0.3">
      <c r="A15" s="14" t="s">
        <v>162</v>
      </c>
      <c r="B15" s="14" t="str">
        <f t="array" ref="B15">LEFT(A15,FIND(" ",A15)-1)</f>
        <v>Prajakta</v>
      </c>
      <c r="C15" s="13" t="str">
        <f t="array" ref="C15">MID(A15,FIND(" ",A15)+1,FIND(" ",A15,FIND(" ",A15)+1)-1-FIND(" ",A15))</f>
        <v>rastogy</v>
      </c>
      <c r="D15" s="14" t="str">
        <f t="array" ref="D15">RIGHT(A15,LEN(A15)-FIND(" ",A15,FIND(" ",A15)+1))</f>
        <v>agnivanshi</v>
      </c>
      <c r="F15" s="14" t="s">
        <v>156</v>
      </c>
      <c r="G15" s="14" t="str">
        <f t="array" ref="G15">IFERROR(LEFT(F15,FIND("-",F15)-1),LEFT(F15,FIND("+",F15)-1))</f>
        <v>Prajakta+rastogy</v>
      </c>
      <c r="H15" s="13" t="str">
        <f t="array" ref="H15">IFERROR(MID(F15,FIND("-",F15)+1,FIND("+",F15,FIND("-",F15)+1)-1-FIND("-",F15)),MID(F15,FIND("+",F15)+1,FIND("-",F15,FIND("+",F15)+1)-1-FIND("+",F15)))</f>
        <v>rastogy</v>
      </c>
      <c r="I15" s="14" t="str">
        <f t="array" ref="I15">IFERROR(RIGHT(F15,LEN(F15)-FIND("+",F15,FIND("+",F15))),RIGHT(F15,LEN(F15)-FIND("-",F15,FIND("-",F15))))</f>
        <v>rastogy-agnivanshi</v>
      </c>
    </row>
    <row r="16" spans="1:9" x14ac:dyDescent="0.3">
      <c r="A16" s="14" t="s">
        <v>163</v>
      </c>
      <c r="B16" s="14" t="str">
        <f t="array" ref="B16">LEFT(A16,FIND(" ",A16)-1)</f>
        <v>shreya</v>
      </c>
      <c r="C16" s="13" t="str">
        <f t="array" ref="C16">MID(A16,FIND(" ",A16)+1,FIND(" ",A16,FIND(" ",A16)+1)-1-FIND(" ",A16))</f>
        <v>pandey</v>
      </c>
      <c r="D16" s="14" t="str">
        <f t="array" ref="D16">RIGHT(A16,LEN(A16)-FIND(" ",A16,FIND(" ",A16)+1))</f>
        <v>sharma</v>
      </c>
      <c r="F16" s="14" t="s">
        <v>157</v>
      </c>
      <c r="G16" s="14" t="str">
        <f t="array" ref="G16">IFERROR(LEFT(F16,FIND("-",F16)-1),LEFT(F16,FIND("+",F16)-1))</f>
        <v>shreya</v>
      </c>
      <c r="H16" s="13" t="str">
        <f t="array" ref="H16">IFERROR(MID(F16,FIND("-",F16)+1,FIND("+",F16,FIND("-",F16)+1)-1-FIND("-",F16)),MID(F16,FIND("+",F16)+1,FIND("-",F16,FIND("+",F16)+1)-1-FIND("+",F16)))</f>
        <v>pandey</v>
      </c>
      <c r="I16" s="14" t="str">
        <f t="array" ref="I16">IFERROR(RIGHT(F16,LEN(F16)-FIND("+",F16,FIND("+",F16))),RIGHT(F16,LEN(F16)-FIND("-",F16,FIND("-",F16))))</f>
        <v>sharma</v>
      </c>
    </row>
    <row r="17" spans="1:9" x14ac:dyDescent="0.3">
      <c r="A17" s="14" t="s">
        <v>164</v>
      </c>
      <c r="B17" s="14" t="str">
        <f t="array" ref="B17">LEFT(A17,FIND(" ",A17)-1)</f>
        <v>abhay</v>
      </c>
      <c r="C17" s="13" t="str">
        <f t="array" ref="C17">MID(A17,FIND(" ",A17)+1,FIND(" ",A17,FIND(" ",A17)+1)-1-FIND(" ",A17))</f>
        <v>khand</v>
      </c>
      <c r="D17" s="14" t="str">
        <f t="array" ref="D17">RIGHT(A17,LEN(A17)-FIND(" ",A17,FIND(" ",A17)+1))</f>
        <v>maheshwari</v>
      </c>
      <c r="F17" s="14" t="s">
        <v>158</v>
      </c>
      <c r="G17" s="14" t="str">
        <f t="array" ref="G17">IFERROR(LEFT(F17,FIND("-",F17)-1),LEFT(F17,FIND("+",F17)-1))</f>
        <v>abhay+khand</v>
      </c>
      <c r="H17" s="13" t="str">
        <f t="array" ref="H17">IFERROR(MID(F17,FIND("-",F17)+1,FIND("+",F17,FIND("-",F17)+1)-1-FIND("-",F17)),MID(F17,FIND("+",F17)+1,FIND("-",F17,FIND("+",F17)+1)-1-FIND("+",F17)))</f>
        <v>khand</v>
      </c>
      <c r="I17" s="14" t="str">
        <f t="array" ref="I17">IFERROR(RIGHT(F17,LEN(F17)-FIND("+",F17,FIND("+",F17))),RIGHT(F17,LEN(F17)-FIND("-",F17,FIND("-",F17))))</f>
        <v>khand-maheshwari</v>
      </c>
    </row>
    <row r="19" spans="1:9" x14ac:dyDescent="0.3">
      <c r="A19" s="136" t="s">
        <v>167</v>
      </c>
      <c r="B19" s="136"/>
      <c r="C19" s="136"/>
      <c r="D19" s="136"/>
      <c r="F19" s="136" t="s">
        <v>170</v>
      </c>
      <c r="G19" s="136"/>
      <c r="H19" s="136"/>
      <c r="I19" s="136"/>
    </row>
    <row r="20" spans="1:9" x14ac:dyDescent="0.3">
      <c r="A20" s="6" t="s">
        <v>107</v>
      </c>
      <c r="B20" s="6" t="s">
        <v>128</v>
      </c>
      <c r="C20" s="6" t="s">
        <v>129</v>
      </c>
      <c r="D20" s="6" t="s">
        <v>130</v>
      </c>
      <c r="F20" s="6" t="s">
        <v>107</v>
      </c>
      <c r="G20" s="6" t="s">
        <v>128</v>
      </c>
      <c r="H20" s="6" t="s">
        <v>129</v>
      </c>
      <c r="I20" s="6" t="s">
        <v>130</v>
      </c>
    </row>
    <row r="21" spans="1:9" x14ac:dyDescent="0.3">
      <c r="A21" s="14" t="s">
        <v>132</v>
      </c>
      <c r="B21" s="14"/>
      <c r="C21" s="13"/>
      <c r="D21" s="14"/>
      <c r="F21" s="14" t="s">
        <v>132</v>
      </c>
      <c r="G21" s="14"/>
      <c r="H21" s="13"/>
      <c r="I21" s="14"/>
    </row>
    <row r="22" spans="1:9" x14ac:dyDescent="0.3">
      <c r="A22" s="14" t="s">
        <v>131</v>
      </c>
      <c r="B22" s="14"/>
      <c r="C22" s="13"/>
      <c r="D22" s="14"/>
      <c r="F22" s="14" t="s">
        <v>131</v>
      </c>
      <c r="G22" s="14"/>
      <c r="H22" s="13"/>
      <c r="I22" s="14"/>
    </row>
    <row r="23" spans="1:9" x14ac:dyDescent="0.3">
      <c r="A23" s="14" t="s">
        <v>133</v>
      </c>
      <c r="B23" s="14"/>
      <c r="C23" s="13"/>
      <c r="D23" s="14"/>
      <c r="F23" s="14" t="s">
        <v>151</v>
      </c>
      <c r="G23" s="14"/>
      <c r="H23" s="13"/>
      <c r="I23" s="14"/>
    </row>
    <row r="24" spans="1:9" x14ac:dyDescent="0.3">
      <c r="A24" s="14" t="s">
        <v>134</v>
      </c>
      <c r="B24" s="14"/>
      <c r="C24" s="13"/>
      <c r="D24" s="14"/>
      <c r="F24" s="14" t="s">
        <v>152</v>
      </c>
      <c r="G24" s="14"/>
      <c r="H24" s="13"/>
      <c r="I24" s="14"/>
    </row>
    <row r="25" spans="1:9" x14ac:dyDescent="0.3">
      <c r="A25" s="14" t="s">
        <v>135</v>
      </c>
      <c r="B25" s="14"/>
      <c r="C25" s="13"/>
      <c r="D25" s="14"/>
      <c r="F25" s="14" t="s">
        <v>157</v>
      </c>
      <c r="G25" s="14"/>
      <c r="H25" s="13"/>
      <c r="I25" s="14"/>
    </row>
    <row r="26" spans="1:9" x14ac:dyDescent="0.3">
      <c r="A26" s="14" t="s">
        <v>136</v>
      </c>
      <c r="B26" s="14"/>
      <c r="C26" s="13"/>
      <c r="D26" s="14"/>
      <c r="F26" s="14" t="s">
        <v>158</v>
      </c>
      <c r="G26" s="14"/>
      <c r="H26" s="13"/>
      <c r="I26" s="14"/>
    </row>
  </sheetData>
  <mergeCells count="6">
    <mergeCell ref="A1:D1"/>
    <mergeCell ref="A10:D10"/>
    <mergeCell ref="F1:I1"/>
    <mergeCell ref="F10:I10"/>
    <mergeCell ref="F19:I19"/>
    <mergeCell ref="A19:D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5C4B4-2A4C-4FDA-9B6B-E83C59781131}">
  <dimension ref="A1:R34"/>
  <sheetViews>
    <sheetView showGridLines="0" topLeftCell="J1" zoomScale="185" workbookViewId="0">
      <selection activeCell="K12" sqref="K12"/>
    </sheetView>
  </sheetViews>
  <sheetFormatPr defaultRowHeight="14.4" x14ac:dyDescent="0.3"/>
  <cols>
    <col min="1" max="1" width="14.77734375" bestFit="1" customWidth="1"/>
    <col min="2" max="2" width="13.77734375" bestFit="1" customWidth="1"/>
    <col min="3" max="3" width="16.44140625" bestFit="1" customWidth="1"/>
    <col min="4" max="4" width="10.21875" bestFit="1" customWidth="1"/>
    <col min="5" max="5" width="14.5546875" bestFit="1" customWidth="1"/>
    <col min="6" max="6" width="16.21875" bestFit="1" customWidth="1"/>
    <col min="7" max="7" width="10.5546875" bestFit="1" customWidth="1"/>
    <col min="8" max="8" width="13.21875" bestFit="1" customWidth="1"/>
    <col min="9" max="9" width="7" bestFit="1" customWidth="1"/>
    <col min="10" max="10" width="11.21875" bestFit="1" customWidth="1"/>
    <col min="11" max="11" width="12.77734375" bestFit="1" customWidth="1"/>
    <col min="13" max="13" width="16" bestFit="1" customWidth="1"/>
  </cols>
  <sheetData>
    <row r="1" spans="1:18" x14ac:dyDescent="0.3">
      <c r="A1" s="6" t="s">
        <v>573</v>
      </c>
      <c r="B1" s="6" t="s">
        <v>574</v>
      </c>
      <c r="C1" s="6" t="s">
        <v>575</v>
      </c>
      <c r="D1" s="6" t="s">
        <v>576</v>
      </c>
      <c r="E1" s="6" t="s">
        <v>577</v>
      </c>
      <c r="F1" s="6" t="s">
        <v>578</v>
      </c>
      <c r="G1" s="6" t="s">
        <v>579</v>
      </c>
      <c r="H1" s="6" t="s">
        <v>580</v>
      </c>
      <c r="I1" s="6" t="s">
        <v>581</v>
      </c>
      <c r="J1" s="6" t="s">
        <v>582</v>
      </c>
      <c r="K1" s="6" t="s">
        <v>583</v>
      </c>
      <c r="M1" s="135" t="s">
        <v>7249</v>
      </c>
    </row>
    <row r="2" spans="1:18" x14ac:dyDescent="0.3">
      <c r="A2" s="3" t="s">
        <v>261</v>
      </c>
      <c r="B2" s="1">
        <v>62</v>
      </c>
      <c r="C2" s="1">
        <v>49</v>
      </c>
      <c r="D2" s="1">
        <v>68</v>
      </c>
      <c r="E2" s="1">
        <v>63</v>
      </c>
      <c r="F2" s="1">
        <v>35</v>
      </c>
      <c r="G2" s="1">
        <v>62</v>
      </c>
      <c r="H2" s="1">
        <v>65</v>
      </c>
      <c r="I2" s="1">
        <v>49</v>
      </c>
      <c r="J2" s="1">
        <v>33</v>
      </c>
      <c r="K2" s="1">
        <v>29</v>
      </c>
      <c r="M2" s="122" t="s">
        <v>584</v>
      </c>
      <c r="N2" s="122" t="s">
        <v>7251</v>
      </c>
    </row>
    <row r="3" spans="1:18" x14ac:dyDescent="0.3">
      <c r="A3" s="3" t="s">
        <v>586</v>
      </c>
      <c r="B3" s="1">
        <v>57</v>
      </c>
      <c r="C3" s="1">
        <v>24</v>
      </c>
      <c r="D3" s="1">
        <v>28</v>
      </c>
      <c r="E3" s="1">
        <v>15</v>
      </c>
      <c r="F3" s="1">
        <v>50</v>
      </c>
      <c r="G3" s="1">
        <v>60</v>
      </c>
      <c r="H3" s="1">
        <v>63</v>
      </c>
      <c r="I3" s="1">
        <v>21</v>
      </c>
      <c r="J3" s="1">
        <v>69</v>
      </c>
      <c r="K3" s="1">
        <v>43</v>
      </c>
      <c r="M3" s="123" t="s">
        <v>276</v>
      </c>
      <c r="N3" s="124">
        <f t="array" aca="1" ref="N3" ca="1">AVERAGE(VLOOKUP($M3,$A$1:$K$34,LARGE(--(RIGHT($A$1:$K$1)=RIGHT($N$2))*COLUMN($A$1:$K$1),ROW(INDIRECT("1:"&amp;SUM(--(RIGHT($A$1:$K$1)=RIGHT($N$2)))))),0))</f>
        <v>57.6</v>
      </c>
      <c r="P3">
        <f t="array" aca="1" ref="P3" ca="1">AVERAGE(VLOOKUP($M3,$A$1:$K$34,LARGE(--(RIGHT($A$1:$K$1)=RIGHT($N$2))*COLUMN($A$1:$K$1),ROW(INDIRECT("1:"&amp;SUM(--(RIGHT($A$1:$K$1)=RIGHT($N$2)))))),0))</f>
        <v>57.6</v>
      </c>
    </row>
    <row r="4" spans="1:18" x14ac:dyDescent="0.3">
      <c r="A4" s="3" t="s">
        <v>587</v>
      </c>
      <c r="B4" s="1">
        <v>66</v>
      </c>
      <c r="C4" s="1">
        <v>25</v>
      </c>
      <c r="D4" s="1">
        <v>25</v>
      </c>
      <c r="E4" s="1">
        <v>44</v>
      </c>
      <c r="F4" s="1">
        <v>71</v>
      </c>
      <c r="G4" s="1">
        <v>64</v>
      </c>
      <c r="H4" s="1">
        <v>15</v>
      </c>
      <c r="I4" s="1">
        <v>47</v>
      </c>
      <c r="J4" s="1">
        <v>54</v>
      </c>
      <c r="K4" s="1">
        <v>16</v>
      </c>
    </row>
    <row r="5" spans="1:18" x14ac:dyDescent="0.3">
      <c r="A5" s="3" t="s">
        <v>588</v>
      </c>
      <c r="B5" s="1">
        <v>45</v>
      </c>
      <c r="C5" s="1">
        <v>65</v>
      </c>
      <c r="D5" s="1">
        <v>45</v>
      </c>
      <c r="E5" s="1">
        <v>34</v>
      </c>
      <c r="F5" s="1">
        <v>67</v>
      </c>
      <c r="G5" s="1">
        <v>59</v>
      </c>
      <c r="H5" s="1">
        <v>56</v>
      </c>
      <c r="I5" s="1">
        <v>42</v>
      </c>
      <c r="J5" s="1">
        <v>50</v>
      </c>
      <c r="K5" s="1">
        <v>28</v>
      </c>
    </row>
    <row r="6" spans="1:18" x14ac:dyDescent="0.3">
      <c r="A6" s="3" t="s">
        <v>589</v>
      </c>
      <c r="B6" s="1">
        <v>34</v>
      </c>
      <c r="C6" s="1">
        <v>70</v>
      </c>
      <c r="D6" s="1">
        <v>28</v>
      </c>
      <c r="E6" s="1">
        <v>15</v>
      </c>
      <c r="F6" s="1">
        <v>40</v>
      </c>
      <c r="G6" s="1">
        <v>53</v>
      </c>
      <c r="H6" s="1">
        <v>56</v>
      </c>
      <c r="I6" s="1">
        <v>49</v>
      </c>
      <c r="J6" s="1">
        <v>52</v>
      </c>
      <c r="K6" s="1">
        <v>24</v>
      </c>
      <c r="M6" s="137" t="s">
        <v>590</v>
      </c>
      <c r="N6" s="137"/>
      <c r="O6" s="137"/>
      <c r="P6" s="137"/>
      <c r="Q6" s="137"/>
      <c r="R6" s="137"/>
    </row>
    <row r="7" spans="1:18" x14ac:dyDescent="0.3">
      <c r="A7" s="3" t="s">
        <v>591</v>
      </c>
      <c r="B7" s="1">
        <v>33</v>
      </c>
      <c r="C7" s="1">
        <v>32</v>
      </c>
      <c r="D7" s="1">
        <v>52</v>
      </c>
      <c r="E7" s="1">
        <v>42</v>
      </c>
      <c r="F7" s="1">
        <v>23</v>
      </c>
      <c r="G7" s="1">
        <v>16</v>
      </c>
      <c r="H7" s="1">
        <v>68</v>
      </c>
      <c r="I7" s="1">
        <v>41</v>
      </c>
      <c r="J7" s="1">
        <v>35</v>
      </c>
      <c r="K7" s="1">
        <v>27</v>
      </c>
      <c r="M7" s="122" t="s">
        <v>7250</v>
      </c>
    </row>
    <row r="8" spans="1:18" x14ac:dyDescent="0.3">
      <c r="A8" s="3" t="s">
        <v>592</v>
      </c>
      <c r="B8" s="1">
        <v>61</v>
      </c>
      <c r="C8" s="1">
        <v>34</v>
      </c>
      <c r="D8" s="1">
        <v>51</v>
      </c>
      <c r="E8" s="1">
        <v>57</v>
      </c>
      <c r="F8" s="1">
        <v>50</v>
      </c>
      <c r="G8" s="1">
        <v>48</v>
      </c>
      <c r="H8" s="1">
        <v>28</v>
      </c>
      <c r="I8" s="1">
        <v>23</v>
      </c>
      <c r="J8" s="1">
        <v>17</v>
      </c>
      <c r="K8" s="1">
        <v>44</v>
      </c>
      <c r="M8" s="122" t="s">
        <v>584</v>
      </c>
      <c r="N8" s="122" t="s">
        <v>585</v>
      </c>
    </row>
    <row r="9" spans="1:18" x14ac:dyDescent="0.3">
      <c r="A9" s="3" t="s">
        <v>593</v>
      </c>
      <c r="B9" s="1">
        <v>54</v>
      </c>
      <c r="C9" s="1">
        <v>44</v>
      </c>
      <c r="D9" s="1">
        <v>32</v>
      </c>
      <c r="E9" s="1">
        <v>44</v>
      </c>
      <c r="F9" s="1">
        <v>67</v>
      </c>
      <c r="G9" s="1">
        <v>57</v>
      </c>
      <c r="H9" s="1">
        <v>33</v>
      </c>
      <c r="I9" s="1">
        <v>43</v>
      </c>
      <c r="J9" s="1">
        <v>60</v>
      </c>
      <c r="K9" s="1">
        <v>52</v>
      </c>
      <c r="M9" s="123" t="s">
        <v>273</v>
      </c>
      <c r="N9" s="124">
        <f t="array" ref="N9">AVERAGE(IF(--($M$9=$A$2:$A$34)*--(RIGHT($N$8)=RIGHT($B$1:$K$1))*$B$2:$K$34,--($M$9=$A$2:$A$34)*--(RIGHT($N$8)=RIGHT($B$1:$K$1))*$B$2:$K$34))</f>
        <v>48.2</v>
      </c>
      <c r="P9">
        <f t="array" ref="P9">AVERAGE(IF(--($M$9=$A$2:$A$34)*--(RIGHT($N$8)=RIGHT($B$1:$K$1))*$B$2:$K$34,--($M$9=$A$2:$A$34)*--(RIGHT($N$8)=RIGHT($B$1:$K$1))*$B$2:$K$34,""))</f>
        <v>48.2</v>
      </c>
    </row>
    <row r="10" spans="1:18" x14ac:dyDescent="0.3">
      <c r="A10" s="3" t="s">
        <v>262</v>
      </c>
      <c r="B10" s="1">
        <v>59</v>
      </c>
      <c r="C10" s="1">
        <v>52</v>
      </c>
      <c r="D10" s="1">
        <v>64</v>
      </c>
      <c r="E10" s="1">
        <v>28</v>
      </c>
      <c r="F10" s="1">
        <v>21</v>
      </c>
      <c r="G10" s="1">
        <v>59</v>
      </c>
      <c r="H10" s="1">
        <v>42</v>
      </c>
      <c r="I10" s="1">
        <v>32</v>
      </c>
      <c r="J10" s="1">
        <v>46</v>
      </c>
      <c r="K10" s="1">
        <v>72</v>
      </c>
    </row>
    <row r="11" spans="1:18" x14ac:dyDescent="0.3">
      <c r="A11" s="3" t="s">
        <v>263</v>
      </c>
      <c r="B11" s="1">
        <v>56</v>
      </c>
      <c r="C11" s="1">
        <v>28</v>
      </c>
      <c r="D11" s="1">
        <v>49</v>
      </c>
      <c r="E11" s="1">
        <v>73</v>
      </c>
      <c r="F11" s="1">
        <v>15</v>
      </c>
      <c r="G11" s="1">
        <v>19</v>
      </c>
      <c r="H11" s="1">
        <v>17</v>
      </c>
      <c r="I11" s="1">
        <v>68</v>
      </c>
      <c r="J11" s="1">
        <v>33</v>
      </c>
      <c r="K11" s="1">
        <v>29</v>
      </c>
    </row>
    <row r="12" spans="1:18" x14ac:dyDescent="0.3">
      <c r="A12" s="3" t="s">
        <v>264</v>
      </c>
      <c r="B12" s="1">
        <v>46</v>
      </c>
      <c r="C12" s="1">
        <v>39</v>
      </c>
      <c r="D12" s="1">
        <v>39</v>
      </c>
      <c r="E12" s="1">
        <v>32</v>
      </c>
      <c r="F12" s="1">
        <v>19</v>
      </c>
      <c r="G12" s="1">
        <v>63</v>
      </c>
      <c r="H12" s="1">
        <v>62</v>
      </c>
      <c r="I12" s="1">
        <v>74</v>
      </c>
      <c r="J12" s="1">
        <v>65</v>
      </c>
      <c r="K12" s="1">
        <v>24</v>
      </c>
    </row>
    <row r="13" spans="1:18" x14ac:dyDescent="0.3">
      <c r="A13" s="3" t="s">
        <v>265</v>
      </c>
      <c r="B13" s="1">
        <v>50</v>
      </c>
      <c r="C13" s="1">
        <v>51</v>
      </c>
      <c r="D13" s="1">
        <v>70</v>
      </c>
      <c r="E13" s="1">
        <v>25</v>
      </c>
      <c r="F13" s="1">
        <v>20</v>
      </c>
      <c r="G13" s="1">
        <v>70</v>
      </c>
      <c r="H13" s="1">
        <v>38</v>
      </c>
      <c r="I13" s="1">
        <v>42</v>
      </c>
      <c r="J13" s="1">
        <v>33</v>
      </c>
      <c r="K13" s="1">
        <v>24</v>
      </c>
    </row>
    <row r="14" spans="1:18" x14ac:dyDescent="0.3">
      <c r="A14" s="3" t="s">
        <v>266</v>
      </c>
      <c r="B14" s="1">
        <v>43</v>
      </c>
      <c r="C14" s="1">
        <v>33</v>
      </c>
      <c r="D14" s="1">
        <v>25</v>
      </c>
      <c r="E14" s="1">
        <v>39</v>
      </c>
      <c r="F14" s="1">
        <v>15</v>
      </c>
      <c r="G14" s="1">
        <v>20</v>
      </c>
      <c r="H14" s="1">
        <v>22</v>
      </c>
      <c r="I14" s="1">
        <v>38</v>
      </c>
      <c r="J14" s="1">
        <v>37</v>
      </c>
      <c r="K14" s="1">
        <v>67</v>
      </c>
    </row>
    <row r="15" spans="1:18" x14ac:dyDescent="0.3">
      <c r="A15" s="3" t="s">
        <v>594</v>
      </c>
      <c r="B15" s="1">
        <v>59</v>
      </c>
      <c r="C15" s="1">
        <v>60</v>
      </c>
      <c r="D15" s="1">
        <v>15</v>
      </c>
      <c r="E15" s="1">
        <v>52</v>
      </c>
      <c r="F15" s="1">
        <v>17</v>
      </c>
      <c r="G15" s="1">
        <v>43</v>
      </c>
      <c r="H15" s="1">
        <v>36</v>
      </c>
      <c r="I15" s="1">
        <v>42</v>
      </c>
      <c r="J15" s="1">
        <v>32</v>
      </c>
      <c r="K15" s="1">
        <v>59</v>
      </c>
    </row>
    <row r="16" spans="1:18" x14ac:dyDescent="0.3">
      <c r="A16" s="3" t="s">
        <v>595</v>
      </c>
      <c r="B16" s="1">
        <v>25</v>
      </c>
      <c r="C16" s="1">
        <v>21</v>
      </c>
      <c r="D16" s="1">
        <v>57</v>
      </c>
      <c r="E16" s="1">
        <v>21</v>
      </c>
      <c r="F16" s="1">
        <v>23</v>
      </c>
      <c r="G16" s="1">
        <v>37</v>
      </c>
      <c r="H16" s="1">
        <v>42</v>
      </c>
      <c r="I16" s="1">
        <v>40</v>
      </c>
      <c r="J16" s="1">
        <v>60</v>
      </c>
      <c r="K16" s="1">
        <v>27</v>
      </c>
    </row>
    <row r="17" spans="1:11" x14ac:dyDescent="0.3">
      <c r="A17" s="3" t="s">
        <v>596</v>
      </c>
      <c r="B17" s="1">
        <v>59</v>
      </c>
      <c r="C17" s="1">
        <v>20</v>
      </c>
      <c r="D17" s="1">
        <v>32</v>
      </c>
      <c r="E17" s="1">
        <v>53</v>
      </c>
      <c r="F17" s="1">
        <v>24</v>
      </c>
      <c r="G17" s="1">
        <v>41</v>
      </c>
      <c r="H17" s="1">
        <v>27</v>
      </c>
      <c r="I17" s="1">
        <v>43</v>
      </c>
      <c r="J17" s="1">
        <v>32</v>
      </c>
      <c r="K17" s="1">
        <v>47</v>
      </c>
    </row>
    <row r="18" spans="1:11" x14ac:dyDescent="0.3">
      <c r="A18" s="3" t="s">
        <v>195</v>
      </c>
      <c r="B18" s="1">
        <v>34</v>
      </c>
      <c r="C18" s="1">
        <v>59</v>
      </c>
      <c r="D18" s="1">
        <v>33</v>
      </c>
      <c r="E18" s="1">
        <v>26</v>
      </c>
      <c r="F18" s="1">
        <v>70</v>
      </c>
      <c r="G18" s="1">
        <v>69</v>
      </c>
      <c r="H18" s="1">
        <v>64</v>
      </c>
      <c r="I18" s="1">
        <v>53</v>
      </c>
      <c r="J18" s="1">
        <v>49</v>
      </c>
      <c r="K18" s="1">
        <v>15</v>
      </c>
    </row>
    <row r="19" spans="1:11" x14ac:dyDescent="0.3">
      <c r="A19" s="3" t="s">
        <v>597</v>
      </c>
      <c r="B19" s="1">
        <v>18</v>
      </c>
      <c r="C19" s="1">
        <v>32</v>
      </c>
      <c r="D19" s="1">
        <v>64</v>
      </c>
      <c r="E19" s="1">
        <v>29</v>
      </c>
      <c r="F19" s="1">
        <v>37</v>
      </c>
      <c r="G19" s="1">
        <v>45</v>
      </c>
      <c r="H19" s="1">
        <v>49</v>
      </c>
      <c r="I19" s="1">
        <v>70</v>
      </c>
      <c r="J19" s="1">
        <v>66</v>
      </c>
      <c r="K19" s="1">
        <v>59</v>
      </c>
    </row>
    <row r="20" spans="1:11" x14ac:dyDescent="0.3">
      <c r="A20" s="3" t="s">
        <v>598</v>
      </c>
      <c r="B20" s="1">
        <v>34</v>
      </c>
      <c r="C20" s="1">
        <v>27</v>
      </c>
      <c r="D20" s="1">
        <v>59</v>
      </c>
      <c r="E20" s="1">
        <v>16</v>
      </c>
      <c r="F20" s="1">
        <v>62</v>
      </c>
      <c r="G20" s="1">
        <v>19</v>
      </c>
      <c r="H20" s="1">
        <v>68</v>
      </c>
      <c r="I20" s="1">
        <v>30</v>
      </c>
      <c r="J20" s="1">
        <v>59</v>
      </c>
      <c r="K20" s="1">
        <v>75</v>
      </c>
    </row>
    <row r="21" spans="1:11" x14ac:dyDescent="0.3">
      <c r="A21" s="3" t="s">
        <v>267</v>
      </c>
      <c r="B21" s="1">
        <v>27</v>
      </c>
      <c r="C21" s="1">
        <v>46</v>
      </c>
      <c r="D21" s="1">
        <v>25</v>
      </c>
      <c r="E21" s="1">
        <v>53</v>
      </c>
      <c r="F21" s="1">
        <v>16</v>
      </c>
      <c r="G21" s="1">
        <v>24</v>
      </c>
      <c r="H21" s="1">
        <v>31</v>
      </c>
      <c r="I21" s="1">
        <v>62</v>
      </c>
      <c r="J21" s="1">
        <v>62</v>
      </c>
      <c r="K21" s="1">
        <v>54</v>
      </c>
    </row>
    <row r="22" spans="1:11" x14ac:dyDescent="0.3">
      <c r="A22" s="3" t="s">
        <v>268</v>
      </c>
      <c r="B22" s="1">
        <v>37</v>
      </c>
      <c r="C22" s="1">
        <v>70</v>
      </c>
      <c r="D22" s="1">
        <v>72</v>
      </c>
      <c r="E22" s="1">
        <v>54</v>
      </c>
      <c r="F22" s="1">
        <v>53</v>
      </c>
      <c r="G22" s="1">
        <v>53</v>
      </c>
      <c r="H22" s="1">
        <v>48</v>
      </c>
      <c r="I22" s="1">
        <v>68</v>
      </c>
      <c r="J22" s="1">
        <v>29</v>
      </c>
      <c r="K22" s="1">
        <v>74</v>
      </c>
    </row>
    <row r="23" spans="1:11" x14ac:dyDescent="0.3">
      <c r="A23" s="3" t="s">
        <v>269</v>
      </c>
      <c r="B23" s="1">
        <v>15</v>
      </c>
      <c r="C23" s="1">
        <v>63</v>
      </c>
      <c r="D23" s="1">
        <v>33</v>
      </c>
      <c r="E23" s="1">
        <v>60</v>
      </c>
      <c r="F23" s="1">
        <v>18</v>
      </c>
      <c r="G23" s="1">
        <v>21</v>
      </c>
      <c r="H23" s="1">
        <v>23</v>
      </c>
      <c r="I23" s="1">
        <v>43</v>
      </c>
      <c r="J23" s="1">
        <v>64</v>
      </c>
      <c r="K23" s="1">
        <v>43</v>
      </c>
    </row>
    <row r="24" spans="1:11" x14ac:dyDescent="0.3">
      <c r="A24" s="3" t="s">
        <v>270</v>
      </c>
      <c r="B24" s="1">
        <v>33</v>
      </c>
      <c r="C24" s="1">
        <v>39</v>
      </c>
      <c r="D24" s="1">
        <v>17</v>
      </c>
      <c r="E24" s="1">
        <v>35</v>
      </c>
      <c r="F24" s="1">
        <v>65</v>
      </c>
      <c r="G24" s="1">
        <v>64</v>
      </c>
      <c r="H24" s="1">
        <v>25</v>
      </c>
      <c r="I24" s="1">
        <v>45</v>
      </c>
      <c r="J24" s="1">
        <v>61</v>
      </c>
      <c r="K24" s="1">
        <v>44</v>
      </c>
    </row>
    <row r="25" spans="1:11" x14ac:dyDescent="0.3">
      <c r="A25" s="3" t="s">
        <v>271</v>
      </c>
      <c r="B25" s="1">
        <v>24</v>
      </c>
      <c r="C25" s="1">
        <v>22</v>
      </c>
      <c r="D25" s="1">
        <v>23</v>
      </c>
      <c r="E25" s="1">
        <v>15</v>
      </c>
      <c r="F25" s="1">
        <v>61</v>
      </c>
      <c r="G25" s="1">
        <v>62</v>
      </c>
      <c r="H25" s="1">
        <v>32</v>
      </c>
      <c r="I25" s="1">
        <v>59</v>
      </c>
      <c r="J25" s="1">
        <v>53</v>
      </c>
      <c r="K25" s="1">
        <v>17</v>
      </c>
    </row>
    <row r="26" spans="1:11" x14ac:dyDescent="0.3">
      <c r="A26" s="3" t="s">
        <v>272</v>
      </c>
      <c r="B26" s="1">
        <v>55</v>
      </c>
      <c r="C26" s="1">
        <v>21</v>
      </c>
      <c r="D26" s="1">
        <v>75</v>
      </c>
      <c r="E26" s="1">
        <v>47</v>
      </c>
      <c r="F26" s="1">
        <v>36</v>
      </c>
      <c r="G26" s="1">
        <v>58</v>
      </c>
      <c r="H26" s="1">
        <v>39</v>
      </c>
      <c r="I26" s="1">
        <v>54</v>
      </c>
      <c r="J26" s="1">
        <v>30</v>
      </c>
      <c r="K26" s="1">
        <v>66</v>
      </c>
    </row>
    <row r="27" spans="1:11" x14ac:dyDescent="0.3">
      <c r="A27" s="3" t="s">
        <v>273</v>
      </c>
      <c r="B27" s="1">
        <v>39</v>
      </c>
      <c r="C27" s="1">
        <v>51</v>
      </c>
      <c r="D27" s="1">
        <v>58</v>
      </c>
      <c r="E27" s="1">
        <v>72</v>
      </c>
      <c r="F27" s="1">
        <v>21</v>
      </c>
      <c r="G27" s="1">
        <v>32</v>
      </c>
      <c r="H27" s="1">
        <v>22</v>
      </c>
      <c r="I27" s="1">
        <v>60</v>
      </c>
      <c r="J27" s="1">
        <v>62</v>
      </c>
      <c r="K27" s="1">
        <v>65</v>
      </c>
    </row>
    <row r="28" spans="1:11" x14ac:dyDescent="0.3">
      <c r="A28" s="3" t="s">
        <v>274</v>
      </c>
      <c r="B28" s="1">
        <v>67</v>
      </c>
      <c r="C28" s="1">
        <v>41</v>
      </c>
      <c r="D28" s="1">
        <v>24</v>
      </c>
      <c r="E28" s="1">
        <v>40</v>
      </c>
      <c r="F28" s="1">
        <v>30</v>
      </c>
      <c r="G28" s="1">
        <v>65</v>
      </c>
      <c r="H28" s="1">
        <v>59</v>
      </c>
      <c r="I28" s="1">
        <v>39</v>
      </c>
      <c r="J28" s="1">
        <v>32</v>
      </c>
      <c r="K28" s="1">
        <v>29</v>
      </c>
    </row>
    <row r="29" spans="1:11" x14ac:dyDescent="0.3">
      <c r="A29" s="3" t="s">
        <v>275</v>
      </c>
      <c r="B29" s="1">
        <v>73</v>
      </c>
      <c r="C29" s="1">
        <v>21</v>
      </c>
      <c r="D29" s="1">
        <v>39</v>
      </c>
      <c r="E29" s="1">
        <v>72</v>
      </c>
      <c r="F29" s="1">
        <v>47</v>
      </c>
      <c r="G29" s="1">
        <v>17</v>
      </c>
      <c r="H29" s="1">
        <v>36</v>
      </c>
      <c r="I29" s="1">
        <v>51</v>
      </c>
      <c r="J29" s="1">
        <v>71</v>
      </c>
      <c r="K29" s="1">
        <v>21</v>
      </c>
    </row>
    <row r="30" spans="1:11" x14ac:dyDescent="0.3">
      <c r="A30" s="3" t="s">
        <v>276</v>
      </c>
      <c r="B30" s="1">
        <v>75</v>
      </c>
      <c r="C30" s="1">
        <v>39</v>
      </c>
      <c r="D30" s="1">
        <v>44</v>
      </c>
      <c r="E30" s="1">
        <v>58</v>
      </c>
      <c r="F30" s="1">
        <v>72</v>
      </c>
      <c r="G30" s="1">
        <v>47</v>
      </c>
      <c r="H30" s="1">
        <v>28</v>
      </c>
      <c r="I30" s="1">
        <v>38</v>
      </c>
      <c r="J30" s="1">
        <v>24</v>
      </c>
      <c r="K30" s="1">
        <v>20</v>
      </c>
    </row>
    <row r="31" spans="1:11" x14ac:dyDescent="0.3">
      <c r="A31" s="3" t="s">
        <v>277</v>
      </c>
      <c r="B31" s="1">
        <v>65</v>
      </c>
      <c r="C31" s="1">
        <v>40</v>
      </c>
      <c r="D31" s="1">
        <v>38</v>
      </c>
      <c r="E31" s="1">
        <v>31</v>
      </c>
      <c r="F31" s="1">
        <v>67</v>
      </c>
      <c r="G31" s="1">
        <v>20</v>
      </c>
      <c r="H31" s="1">
        <v>30</v>
      </c>
      <c r="I31" s="1">
        <v>46</v>
      </c>
      <c r="J31" s="1">
        <v>23</v>
      </c>
      <c r="K31" s="1">
        <v>27</v>
      </c>
    </row>
    <row r="32" spans="1:11" x14ac:dyDescent="0.3">
      <c r="A32" s="3" t="s">
        <v>278</v>
      </c>
      <c r="B32" s="1">
        <v>20</v>
      </c>
      <c r="C32" s="1">
        <v>56</v>
      </c>
      <c r="D32" s="1">
        <v>62</v>
      </c>
      <c r="E32" s="1">
        <v>38</v>
      </c>
      <c r="F32" s="1">
        <v>60</v>
      </c>
      <c r="G32" s="1">
        <v>54</v>
      </c>
      <c r="H32" s="1">
        <v>39</v>
      </c>
      <c r="I32" s="1">
        <v>42</v>
      </c>
      <c r="J32" s="1">
        <v>63</v>
      </c>
      <c r="K32" s="1">
        <v>15</v>
      </c>
    </row>
    <row r="33" spans="1:11" x14ac:dyDescent="0.3">
      <c r="A33" s="3" t="s">
        <v>279</v>
      </c>
      <c r="B33" s="1">
        <v>16</v>
      </c>
      <c r="C33" s="1">
        <v>37</v>
      </c>
      <c r="D33" s="1">
        <v>21</v>
      </c>
      <c r="E33" s="1">
        <v>50</v>
      </c>
      <c r="F33" s="1">
        <v>57</v>
      </c>
      <c r="G33" s="1">
        <v>61</v>
      </c>
      <c r="H33" s="1">
        <v>53</v>
      </c>
      <c r="I33" s="1">
        <v>74</v>
      </c>
      <c r="J33" s="1">
        <v>47</v>
      </c>
      <c r="K33" s="1">
        <v>68</v>
      </c>
    </row>
    <row r="34" spans="1:11" x14ac:dyDescent="0.3">
      <c r="A34" s="3" t="s">
        <v>599</v>
      </c>
      <c r="B34" s="1">
        <v>48</v>
      </c>
      <c r="C34" s="1">
        <v>66</v>
      </c>
      <c r="D34" s="1">
        <v>27</v>
      </c>
      <c r="E34" s="1">
        <v>29</v>
      </c>
      <c r="F34" s="1">
        <v>52</v>
      </c>
      <c r="G34" s="1">
        <v>54</v>
      </c>
      <c r="H34" s="1">
        <v>30</v>
      </c>
      <c r="I34" s="1">
        <v>24</v>
      </c>
      <c r="J34" s="1">
        <v>64</v>
      </c>
      <c r="K34" s="1">
        <v>18</v>
      </c>
    </row>
  </sheetData>
  <mergeCells count="1">
    <mergeCell ref="M6:R6"/>
  </mergeCells>
  <dataValidations count="2">
    <dataValidation type="list" allowBlank="1" showInputMessage="1" showErrorMessage="1" sqref="N2 N8" xr:uid="{9A317F76-0A12-4C0E-BC20-2663758E77C5}">
      <formula1>"theory,lab"</formula1>
    </dataValidation>
    <dataValidation type="list" allowBlank="1" showInputMessage="1" showErrorMessage="1" sqref="M3 M9" xr:uid="{C13268F2-829C-47D6-A467-59FE4BB570B1}">
      <formula1>$A$2:$A$34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B73E3-FFC5-471E-809C-57B662CCFC48}">
  <sheetPr codeName="Sheet6"/>
  <dimension ref="A1:AA37"/>
  <sheetViews>
    <sheetView showGridLines="0" workbookViewId="0">
      <selection activeCell="G14" sqref="G14"/>
    </sheetView>
  </sheetViews>
  <sheetFormatPr defaultRowHeight="14.4" x14ac:dyDescent="0.3"/>
  <cols>
    <col min="1" max="1" width="16.44140625" bestFit="1" customWidth="1"/>
  </cols>
  <sheetData>
    <row r="1" spans="1:27" x14ac:dyDescent="0.3">
      <c r="A1" s="25" t="s">
        <v>260</v>
      </c>
    </row>
    <row r="2" spans="1:27" x14ac:dyDescent="0.3">
      <c r="A2" s="22" t="s">
        <v>214</v>
      </c>
      <c r="B2" s="23" t="s">
        <v>215</v>
      </c>
      <c r="C2" s="23" t="s">
        <v>216</v>
      </c>
      <c r="D2" s="23" t="s">
        <v>217</v>
      </c>
      <c r="E2" s="23" t="s">
        <v>218</v>
      </c>
      <c r="F2" s="23" t="s">
        <v>219</v>
      </c>
      <c r="G2" s="23" t="s">
        <v>220</v>
      </c>
      <c r="H2" s="23" t="s">
        <v>221</v>
      </c>
      <c r="I2" s="23" t="s">
        <v>222</v>
      </c>
      <c r="J2" s="23" t="s">
        <v>223</v>
      </c>
      <c r="K2" s="23" t="s">
        <v>224</v>
      </c>
      <c r="L2" s="23" t="s">
        <v>225</v>
      </c>
      <c r="M2" s="23" t="s">
        <v>226</v>
      </c>
      <c r="N2" s="23" t="s">
        <v>227</v>
      </c>
      <c r="O2" s="23" t="s">
        <v>228</v>
      </c>
      <c r="P2" s="23" t="s">
        <v>229</v>
      </c>
      <c r="Q2" s="23" t="s">
        <v>230</v>
      </c>
      <c r="R2" s="23" t="s">
        <v>231</v>
      </c>
      <c r="S2" s="23" t="s">
        <v>232</v>
      </c>
      <c r="T2" s="23" t="s">
        <v>233</v>
      </c>
      <c r="U2" s="23" t="s">
        <v>234</v>
      </c>
      <c r="V2" s="23" t="s">
        <v>235</v>
      </c>
      <c r="W2" s="23" t="s">
        <v>236</v>
      </c>
      <c r="X2" s="23" t="s">
        <v>237</v>
      </c>
      <c r="Y2" s="23" t="s">
        <v>238</v>
      </c>
      <c r="Z2" s="23" t="s">
        <v>239</v>
      </c>
      <c r="AA2" s="23" t="s">
        <v>240</v>
      </c>
    </row>
    <row r="3" spans="1:27" x14ac:dyDescent="0.3">
      <c r="A3" s="21" t="s">
        <v>198</v>
      </c>
      <c r="B3" s="1" t="str" cm="1">
        <f t="array" aca="1" ref="B3" ca="1">REPT(B$2,SUM(--(MID($A3,ROW(INDIRECT("1:"&amp;LEN($A3))),1)=B$2)))</f>
        <v>AA</v>
      </c>
      <c r="C3" s="1" t="str" cm="1">
        <f t="array" aca="1" ref="C3" ca="1">REPT(C$2,SUM(--(MID($A3,ROW(INDIRECT("1:"&amp;LEN($A3))),1)=C$2)))</f>
        <v/>
      </c>
      <c r="D3" s="1" t="str" cm="1">
        <f t="array" aca="1" ref="D3" ca="1">REPT(D$2,SUM(--(MID($A3,ROW(INDIRECT("1:"&amp;LEN($A3))),1)=D$2)))</f>
        <v/>
      </c>
      <c r="E3" s="1" t="str" cm="1">
        <f t="array" aca="1" ref="E3" ca="1">REPT(E$2,SUM(--(MID($A3,ROW(INDIRECT("1:"&amp;LEN($A3))),1)=E$2)))</f>
        <v>DD</v>
      </c>
      <c r="F3" s="1" t="str" cm="1">
        <f t="array" aca="1" ref="F3" ca="1">REPT(F$2,SUM(--(MID($A3,ROW(INDIRECT("1:"&amp;LEN($A3))),1)=F$2)))</f>
        <v>EE</v>
      </c>
      <c r="G3" s="1" t="str" cm="1">
        <f t="array" aca="1" ref="G3" ca="1">REPT(G$2,SUM(--(MID($A3,ROW(INDIRECT("1:"&amp;LEN($A3))),1)=G$2)))</f>
        <v/>
      </c>
      <c r="H3" s="1" t="str" cm="1">
        <f t="array" aca="1" ref="H3" ca="1">REPT(H$2,SUM(--(MID($A3,ROW(INDIRECT("1:"&amp;LEN($A3))),1)=H$2)))</f>
        <v/>
      </c>
      <c r="I3" s="1" t="str" cm="1">
        <f t="array" aca="1" ref="I3" ca="1">REPT(I$2,SUM(--(MID($A3,ROW(INDIRECT("1:"&amp;LEN($A3))),1)=I$2)))</f>
        <v>H</v>
      </c>
      <c r="J3" s="1" t="str" cm="1">
        <f t="array" aca="1" ref="J3" ca="1">REPT(J$2,SUM(--(MID($A3,ROW(INDIRECT("1:"&amp;LEN($A3))),1)=J$2)))</f>
        <v/>
      </c>
      <c r="K3" s="1" t="str" cm="1">
        <f t="array" aca="1" ref="K3" ca="1">REPT(K$2,SUM(--(MID($A3,ROW(INDIRECT("1:"&amp;LEN($A3))),1)=K$2)))</f>
        <v/>
      </c>
      <c r="L3" s="1" t="str" cm="1">
        <f t="array" aca="1" ref="L3" ca="1">REPT(L$2,SUM(--(MID($A3,ROW(INDIRECT("1:"&amp;LEN($A3))),1)=L$2)))</f>
        <v/>
      </c>
      <c r="M3" s="1" t="str" cm="1">
        <f t="array" aca="1" ref="M3" ca="1">REPT(M$2,SUM(--(MID($A3,ROW(INDIRECT("1:"&amp;LEN($A3))),1)=M$2)))</f>
        <v>LL</v>
      </c>
      <c r="N3" s="1" t="str" cm="1">
        <f t="array" aca="1" ref="N3" ca="1">REPT(N$2,SUM(--(MID($A3,ROW(INDIRECT("1:"&amp;LEN($A3))),1)=N$2)))</f>
        <v/>
      </c>
      <c r="O3" s="1" t="str" cm="1">
        <f t="array" aca="1" ref="O3" ca="1">REPT(O$2,SUM(--(MID($A3,ROW(INDIRECT("1:"&amp;LEN($A3))),1)=O$2)))</f>
        <v/>
      </c>
      <c r="P3" s="1" t="str" cm="1">
        <f t="array" aca="1" ref="P3" ca="1">REPT(P$2,SUM(--(MID($A3,ROW(INDIRECT("1:"&amp;LEN($A3))),1)=P$2)))</f>
        <v>O</v>
      </c>
      <c r="Q3" s="1" t="str" cm="1">
        <f t="array" aca="1" ref="Q3" ca="1">REPT(Q$2,SUM(--(MID($A3,ROW(INDIRECT("1:"&amp;LEN($A3))),1)=Q$2)))</f>
        <v/>
      </c>
      <c r="R3" s="1" t="str" cm="1">
        <f t="array" aca="1" ref="R3" ca="1">REPT(R$2,SUM(--(MID($A3,ROW(INDIRECT("1:"&amp;LEN($A3))),1)=R$2)))</f>
        <v/>
      </c>
      <c r="S3" s="1" t="str" cm="1">
        <f t="array" aca="1" ref="S3" ca="1">REPT(S$2,SUM(--(MID($A3,ROW(INDIRECT("1:"&amp;LEN($A3))),1)=S$2)))</f>
        <v>R</v>
      </c>
      <c r="T3" s="1" t="str" cm="1">
        <f t="array" aca="1" ref="T3" ca="1">REPT(T$2,SUM(--(MID($A3,ROW(INDIRECT("1:"&amp;LEN($A3))),1)=T$2)))</f>
        <v/>
      </c>
      <c r="U3" s="1" t="str" cm="1">
        <f t="array" aca="1" ref="U3" ca="1">REPT(U$2,SUM(--(MID($A3,ROW(INDIRECT("1:"&amp;LEN($A3))),1)=U$2)))</f>
        <v/>
      </c>
      <c r="V3" s="1" t="str" cm="1">
        <f t="array" aca="1" ref="V3" ca="1">REPT(V$2,SUM(--(MID($A3,ROW(INDIRECT("1:"&amp;LEN($A3))),1)=V$2)))</f>
        <v/>
      </c>
      <c r="W3" s="1" t="str" cm="1">
        <f t="array" aca="1" ref="W3" ca="1">REPT(W$2,SUM(--(MID($A3,ROW(INDIRECT("1:"&amp;LEN($A3))),1)=W$2)))</f>
        <v/>
      </c>
      <c r="X3" s="1" t="str" cm="1">
        <f t="array" aca="1" ref="X3" ca="1">REPT(X$2,SUM(--(MID($A3,ROW(INDIRECT("1:"&amp;LEN($A3))),1)=X$2)))</f>
        <v>WW</v>
      </c>
      <c r="Y3" s="1" t="str" cm="1">
        <f t="array" aca="1" ref="Y3" ca="1">REPT(Y$2,SUM(--(MID($A3,ROW(INDIRECT("1:"&amp;LEN($A3))),1)=Y$2)))</f>
        <v/>
      </c>
      <c r="Z3" s="1" t="str" cm="1">
        <f t="array" aca="1" ref="Z3" ca="1">REPT(Z$2,SUM(--(MID($A3,ROW(INDIRECT("1:"&amp;LEN($A3))),1)=Z$2)))</f>
        <v/>
      </c>
      <c r="AA3" s="1" t="str" cm="1">
        <f t="array" aca="1" ref="AA3" ca="1">REPT(AA$2,SUM(--(MID($A3,ROW(INDIRECT("1:"&amp;LEN($A3))),1)=AA$2)))</f>
        <v/>
      </c>
    </row>
    <row r="4" spans="1:27" x14ac:dyDescent="0.3">
      <c r="A4" s="21" t="s">
        <v>199</v>
      </c>
      <c r="B4" s="1" t="str" cm="1">
        <f t="array" aca="1" ref="B4" ca="1">REPT(B$2,SUM(--(MID($A4,ROW(INDIRECT("1:"&amp;LEN($A4))),1)=B$2)))</f>
        <v>AAA</v>
      </c>
      <c r="C4" s="1" t="str" cm="1">
        <f t="array" aca="1" ref="C4" ca="1">REPT(C$2,SUM(--(MID($A4,ROW(INDIRECT("1:"&amp;LEN($A4))),1)=C$2)))</f>
        <v/>
      </c>
      <c r="D4" s="1" t="str" cm="1">
        <f t="array" aca="1" ref="D4" ca="1">REPT(D$2,SUM(--(MID($A4,ROW(INDIRECT("1:"&amp;LEN($A4))),1)=D$2)))</f>
        <v/>
      </c>
      <c r="E4" s="1" t="str" cm="1">
        <f t="array" aca="1" ref="E4" ca="1">REPT(E$2,SUM(--(MID($A4,ROW(INDIRECT("1:"&amp;LEN($A4))),1)=E$2)))</f>
        <v>D</v>
      </c>
      <c r="F4" s="1" t="str" cm="1">
        <f t="array" aca="1" ref="F4" ca="1">REPT(F$2,SUM(--(MID($A4,ROW(INDIRECT("1:"&amp;LEN($A4))),1)=F$2)))</f>
        <v>E</v>
      </c>
      <c r="G4" s="1" t="str" cm="1">
        <f t="array" aca="1" ref="G4" ca="1">REPT(G$2,SUM(--(MID($A4,ROW(INDIRECT("1:"&amp;LEN($A4))),1)=G$2)))</f>
        <v/>
      </c>
      <c r="H4" s="1" t="str" cm="1">
        <f t="array" aca="1" ref="H4" ca="1">REPT(H$2,SUM(--(MID($A4,ROW(INDIRECT("1:"&amp;LEN($A4))),1)=H$2)))</f>
        <v/>
      </c>
      <c r="I4" s="1" t="str" cm="1">
        <f t="array" aca="1" ref="I4" ca="1">REPT(I$2,SUM(--(MID($A4,ROW(INDIRECT("1:"&amp;LEN($A4))),1)=I$2)))</f>
        <v>H</v>
      </c>
      <c r="J4" s="1" t="str" cm="1">
        <f t="array" aca="1" ref="J4" ca="1">REPT(J$2,SUM(--(MID($A4,ROW(INDIRECT("1:"&amp;LEN($A4))),1)=J$2)))</f>
        <v>I</v>
      </c>
      <c r="K4" s="1" t="str" cm="1">
        <f t="array" aca="1" ref="K4" ca="1">REPT(K$2,SUM(--(MID($A4,ROW(INDIRECT("1:"&amp;LEN($A4))),1)=K$2)))</f>
        <v/>
      </c>
      <c r="L4" s="1" t="str" cm="1">
        <f t="array" aca="1" ref="L4" ca="1">REPT(L$2,SUM(--(MID($A4,ROW(INDIRECT("1:"&amp;LEN($A4))),1)=L$2)))</f>
        <v>K</v>
      </c>
      <c r="M4" s="1" t="str" cm="1">
        <f t="array" aca="1" ref="M4" ca="1">REPT(M$2,SUM(--(MID($A4,ROW(INDIRECT("1:"&amp;LEN($A4))),1)=M$2)))</f>
        <v>LL</v>
      </c>
      <c r="N4" s="1" t="str" cm="1">
        <f t="array" aca="1" ref="N4" ca="1">REPT(N$2,SUM(--(MID($A4,ROW(INDIRECT("1:"&amp;LEN($A4))),1)=N$2)))</f>
        <v/>
      </c>
      <c r="O4" s="1" t="str" cm="1">
        <f t="array" aca="1" ref="O4" ca="1">REPT(O$2,SUM(--(MID($A4,ROW(INDIRECT("1:"&amp;LEN($A4))),1)=O$2)))</f>
        <v>N</v>
      </c>
      <c r="P4" s="1" t="str" cm="1">
        <f t="array" aca="1" ref="P4" ca="1">REPT(P$2,SUM(--(MID($A4,ROW(INDIRECT("1:"&amp;LEN($A4))),1)=P$2)))</f>
        <v/>
      </c>
      <c r="Q4" s="1" t="str" cm="1">
        <f t="array" aca="1" ref="Q4" ca="1">REPT(Q$2,SUM(--(MID($A4,ROW(INDIRECT("1:"&amp;LEN($A4))),1)=Q$2)))</f>
        <v/>
      </c>
      <c r="R4" s="1" t="str" cm="1">
        <f t="array" aca="1" ref="R4" ca="1">REPT(R$2,SUM(--(MID($A4,ROW(INDIRECT("1:"&amp;LEN($A4))),1)=R$2)))</f>
        <v/>
      </c>
      <c r="S4" s="1" t="str" cm="1">
        <f t="array" aca="1" ref="S4" ca="1">REPT(S$2,SUM(--(MID($A4,ROW(INDIRECT("1:"&amp;LEN($A4))),1)=S$2)))</f>
        <v>R</v>
      </c>
      <c r="T4" s="1" t="str" cm="1">
        <f t="array" aca="1" ref="T4" ca="1">REPT(T$2,SUM(--(MID($A4,ROW(INDIRECT("1:"&amp;LEN($A4))),1)=T$2)))</f>
        <v/>
      </c>
      <c r="U4" s="1" t="str" cm="1">
        <f t="array" aca="1" ref="U4" ca="1">REPT(U$2,SUM(--(MID($A4,ROW(INDIRECT("1:"&amp;LEN($A4))),1)=U$2)))</f>
        <v>T</v>
      </c>
      <c r="V4" s="1" t="str" cm="1">
        <f t="array" aca="1" ref="V4" ca="1">REPT(V$2,SUM(--(MID($A4,ROW(INDIRECT("1:"&amp;LEN($A4))),1)=V$2)))</f>
        <v>U</v>
      </c>
      <c r="W4" s="1" t="str" cm="1">
        <f t="array" aca="1" ref="W4" ca="1">REPT(W$2,SUM(--(MID($A4,ROW(INDIRECT("1:"&amp;LEN($A4))),1)=W$2)))</f>
        <v/>
      </c>
      <c r="X4" s="1" t="str" cm="1">
        <f t="array" aca="1" ref="X4" ca="1">REPT(X$2,SUM(--(MID($A4,ROW(INDIRECT("1:"&amp;LEN($A4))),1)=X$2)))</f>
        <v/>
      </c>
      <c r="Y4" s="1" t="str" cm="1">
        <f t="array" aca="1" ref="Y4" ca="1">REPT(Y$2,SUM(--(MID($A4,ROW(INDIRECT("1:"&amp;LEN($A4))),1)=Y$2)))</f>
        <v/>
      </c>
      <c r="Z4" s="1" t="str" cm="1">
        <f t="array" aca="1" ref="Z4" ca="1">REPT(Z$2,SUM(--(MID($A4,ROW(INDIRECT("1:"&amp;LEN($A4))),1)=Z$2)))</f>
        <v>Y</v>
      </c>
      <c r="AA4" s="1" t="str" cm="1">
        <f t="array" aca="1" ref="AA4" ca="1">REPT(AA$2,SUM(--(MID($A4,ROW(INDIRECT("1:"&amp;LEN($A4))),1)=AA$2)))</f>
        <v/>
      </c>
    </row>
    <row r="5" spans="1:27" x14ac:dyDescent="0.3">
      <c r="A5" s="21" t="s">
        <v>211</v>
      </c>
      <c r="B5" s="1" t="str" cm="1">
        <f t="array" aca="1" ref="B5" ca="1">REPT(B$2,SUM(--(MID($A5,ROW(INDIRECT("1:"&amp;LEN($A5))),1)=B$2)))</f>
        <v>A</v>
      </c>
      <c r="C5" s="1" t="str" cm="1">
        <f t="array" aca="1" ref="C5" ca="1">REPT(C$2,SUM(--(MID($A5,ROW(INDIRECT("1:"&amp;LEN($A5))),1)=C$2)))</f>
        <v/>
      </c>
      <c r="D5" s="1" t="str" cm="1">
        <f t="array" aca="1" ref="D5" ca="1">REPT(D$2,SUM(--(MID($A5,ROW(INDIRECT("1:"&amp;LEN($A5))),1)=D$2)))</f>
        <v/>
      </c>
      <c r="E5" s="1" t="str" cm="1">
        <f t="array" aca="1" ref="E5" ca="1">REPT(E$2,SUM(--(MID($A5,ROW(INDIRECT("1:"&amp;LEN($A5))),1)=E$2)))</f>
        <v/>
      </c>
      <c r="F5" s="1" t="str" cm="1">
        <f t="array" aca="1" ref="F5" ca="1">REPT(F$2,SUM(--(MID($A5,ROW(INDIRECT("1:"&amp;LEN($A5))),1)=F$2)))</f>
        <v>E</v>
      </c>
      <c r="G5" s="1" t="str" cm="1">
        <f t="array" aca="1" ref="G5" ca="1">REPT(G$2,SUM(--(MID($A5,ROW(INDIRECT("1:"&amp;LEN($A5))),1)=G$2)))</f>
        <v/>
      </c>
      <c r="H5" s="1" t="str" cm="1">
        <f t="array" aca="1" ref="H5" ca="1">REPT(H$2,SUM(--(MID($A5,ROW(INDIRECT("1:"&amp;LEN($A5))),1)=H$2)))</f>
        <v/>
      </c>
      <c r="I5" s="1" t="str" cm="1">
        <f t="array" aca="1" ref="I5" ca="1">REPT(I$2,SUM(--(MID($A5,ROW(INDIRECT("1:"&amp;LEN($A5))),1)=I$2)))</f>
        <v/>
      </c>
      <c r="J5" s="1" t="str" cm="1">
        <f t="array" aca="1" ref="J5" ca="1">REPT(J$2,SUM(--(MID($A5,ROW(INDIRECT("1:"&amp;LEN($A5))),1)=J$2)))</f>
        <v/>
      </c>
      <c r="K5" s="1" t="str" cm="1">
        <f t="array" aca="1" ref="K5" ca="1">REPT(K$2,SUM(--(MID($A5,ROW(INDIRECT("1:"&amp;LEN($A5))),1)=K$2)))</f>
        <v/>
      </c>
      <c r="L5" s="1" t="str" cm="1">
        <f t="array" aca="1" ref="L5" ca="1">REPT(L$2,SUM(--(MID($A5,ROW(INDIRECT("1:"&amp;LEN($A5))),1)=L$2)))</f>
        <v/>
      </c>
      <c r="M5" s="1" t="str" cm="1">
        <f t="array" aca="1" ref="M5" ca="1">REPT(M$2,SUM(--(MID($A5,ROW(INDIRECT("1:"&amp;LEN($A5))),1)=M$2)))</f>
        <v/>
      </c>
      <c r="N5" s="1" t="str" cm="1">
        <f t="array" aca="1" ref="N5" ca="1">REPT(N$2,SUM(--(MID($A5,ROW(INDIRECT("1:"&amp;LEN($A5))),1)=N$2)))</f>
        <v/>
      </c>
      <c r="O5" s="1" t="str" cm="1">
        <f t="array" aca="1" ref="O5" ca="1">REPT(O$2,SUM(--(MID($A5,ROW(INDIRECT("1:"&amp;LEN($A5))),1)=O$2)))</f>
        <v>N</v>
      </c>
      <c r="P5" s="1" t="str" cm="1">
        <f t="array" aca="1" ref="P5" ca="1">REPT(P$2,SUM(--(MID($A5,ROW(INDIRECT("1:"&amp;LEN($A5))),1)=P$2)))</f>
        <v/>
      </c>
      <c r="Q5" s="1" t="str" cm="1">
        <f t="array" aca="1" ref="Q5" ca="1">REPT(Q$2,SUM(--(MID($A5,ROW(INDIRECT("1:"&amp;LEN($A5))),1)=Q$2)))</f>
        <v/>
      </c>
      <c r="R5" s="1" t="str" cm="1">
        <f t="array" aca="1" ref="R5" ca="1">REPT(R$2,SUM(--(MID($A5,ROW(INDIRECT("1:"&amp;LEN($A5))),1)=R$2)))</f>
        <v/>
      </c>
      <c r="S5" s="1" t="str" cm="1">
        <f t="array" aca="1" ref="S5" ca="1">REPT(S$2,SUM(--(MID($A5,ROW(INDIRECT("1:"&amp;LEN($A5))),1)=S$2)))</f>
        <v>R</v>
      </c>
      <c r="T5" s="1" t="str" cm="1">
        <f t="array" aca="1" ref="T5" ca="1">REPT(T$2,SUM(--(MID($A5,ROW(INDIRECT("1:"&amp;LEN($A5))),1)=T$2)))</f>
        <v/>
      </c>
      <c r="U5" s="1" t="str" cm="1">
        <f t="array" aca="1" ref="U5" ca="1">REPT(U$2,SUM(--(MID($A5,ROW(INDIRECT("1:"&amp;LEN($A5))),1)=U$2)))</f>
        <v/>
      </c>
      <c r="V5" s="1" t="str" cm="1">
        <f t="array" aca="1" ref="V5" ca="1">REPT(V$2,SUM(--(MID($A5,ROW(INDIRECT("1:"&amp;LEN($A5))),1)=V$2)))</f>
        <v/>
      </c>
      <c r="W5" s="1" t="str" cm="1">
        <f t="array" aca="1" ref="W5" ca="1">REPT(W$2,SUM(--(MID($A5,ROW(INDIRECT("1:"&amp;LEN($A5))),1)=W$2)))</f>
        <v>V</v>
      </c>
      <c r="X5" s="1" t="str" cm="1">
        <f t="array" aca="1" ref="X5" ca="1">REPT(X$2,SUM(--(MID($A5,ROW(INDIRECT("1:"&amp;LEN($A5))),1)=X$2)))</f>
        <v/>
      </c>
      <c r="Y5" s="1" t="str" cm="1">
        <f t="array" aca="1" ref="Y5" ca="1">REPT(Y$2,SUM(--(MID($A5,ROW(INDIRECT("1:"&amp;LEN($A5))),1)=Y$2)))</f>
        <v/>
      </c>
      <c r="Z5" s="1" t="str" cm="1">
        <f t="array" aca="1" ref="Z5" ca="1">REPT(Z$2,SUM(--(MID($A5,ROW(INDIRECT("1:"&amp;LEN($A5))),1)=Z$2)))</f>
        <v/>
      </c>
      <c r="AA5" s="1" t="str" cm="1">
        <f t="array" aca="1" ref="AA5" ca="1">REPT(AA$2,SUM(--(MID($A5,ROW(INDIRECT("1:"&amp;LEN($A5))),1)=AA$2)))</f>
        <v/>
      </c>
    </row>
    <row r="6" spans="1:27" x14ac:dyDescent="0.3">
      <c r="A6" s="21" t="s">
        <v>210</v>
      </c>
      <c r="B6" s="1" t="str" cm="1">
        <f t="array" aca="1" ref="B6" ca="1">REPT(B$2,SUM(--(MID($A6,ROW(INDIRECT("1:"&amp;LEN($A6))),1)=B$2)))</f>
        <v>A</v>
      </c>
      <c r="C6" s="1" t="str" cm="1">
        <f t="array" aca="1" ref="C6" ca="1">REPT(C$2,SUM(--(MID($A6,ROW(INDIRECT("1:"&amp;LEN($A6))),1)=C$2)))</f>
        <v/>
      </c>
      <c r="D6" s="1" t="str" cm="1">
        <f t="array" aca="1" ref="D6" ca="1">REPT(D$2,SUM(--(MID($A6,ROW(INDIRECT("1:"&amp;LEN($A6))),1)=D$2)))</f>
        <v/>
      </c>
      <c r="E6" s="1" t="str" cm="1">
        <f t="array" aca="1" ref="E6" ca="1">REPT(E$2,SUM(--(MID($A6,ROW(INDIRECT("1:"&amp;LEN($A6))),1)=E$2)))</f>
        <v/>
      </c>
      <c r="F6" s="1" t="str" cm="1">
        <f t="array" aca="1" ref="F6" ca="1">REPT(F$2,SUM(--(MID($A6,ROW(INDIRECT("1:"&amp;LEN($A6))),1)=F$2)))</f>
        <v/>
      </c>
      <c r="G6" s="1" t="str" cm="1">
        <f t="array" aca="1" ref="G6" ca="1">REPT(G$2,SUM(--(MID($A6,ROW(INDIRECT("1:"&amp;LEN($A6))),1)=G$2)))</f>
        <v/>
      </c>
      <c r="H6" s="1" t="str" cm="1">
        <f t="array" aca="1" ref="H6" ca="1">REPT(H$2,SUM(--(MID($A6,ROW(INDIRECT("1:"&amp;LEN($A6))),1)=H$2)))</f>
        <v/>
      </c>
      <c r="I6" s="1" t="str" cm="1">
        <f t="array" aca="1" ref="I6" ca="1">REPT(I$2,SUM(--(MID($A6,ROW(INDIRECT("1:"&amp;LEN($A6))),1)=I$2)))</f>
        <v/>
      </c>
      <c r="J6" s="1" t="str" cm="1">
        <f t="array" aca="1" ref="J6" ca="1">REPT(J$2,SUM(--(MID($A6,ROW(INDIRECT("1:"&amp;LEN($A6))),1)=J$2)))</f>
        <v/>
      </c>
      <c r="K6" s="1" t="str" cm="1">
        <f t="array" aca="1" ref="K6" ca="1">REPT(K$2,SUM(--(MID($A6,ROW(INDIRECT("1:"&amp;LEN($A6))),1)=K$2)))</f>
        <v/>
      </c>
      <c r="L6" s="1" t="str" cm="1">
        <f t="array" aca="1" ref="L6" ca="1">REPT(L$2,SUM(--(MID($A6,ROW(INDIRECT("1:"&amp;LEN($A6))),1)=L$2)))</f>
        <v/>
      </c>
      <c r="M6" s="1" t="str" cm="1">
        <f t="array" aca="1" ref="M6" ca="1">REPT(M$2,SUM(--(MID($A6,ROW(INDIRECT("1:"&amp;LEN($A6))),1)=M$2)))</f>
        <v/>
      </c>
      <c r="N6" s="1" t="str" cm="1">
        <f t="array" aca="1" ref="N6" ca="1">REPT(N$2,SUM(--(MID($A6,ROW(INDIRECT("1:"&amp;LEN($A6))),1)=N$2)))</f>
        <v>M</v>
      </c>
      <c r="O6" s="1" t="str" cm="1">
        <f t="array" aca="1" ref="O6" ca="1">REPT(O$2,SUM(--(MID($A6,ROW(INDIRECT("1:"&amp;LEN($A6))),1)=O$2)))</f>
        <v/>
      </c>
      <c r="P6" s="1" t="str" cm="1">
        <f t="array" aca="1" ref="P6" ca="1">REPT(P$2,SUM(--(MID($A6,ROW(INDIRECT("1:"&amp;LEN($A6))),1)=P$2)))</f>
        <v/>
      </c>
      <c r="Q6" s="1" t="str" cm="1">
        <f t="array" aca="1" ref="Q6" ca="1">REPT(Q$2,SUM(--(MID($A6,ROW(INDIRECT("1:"&amp;LEN($A6))),1)=Q$2)))</f>
        <v/>
      </c>
      <c r="R6" s="1" t="str" cm="1">
        <f t="array" aca="1" ref="R6" ca="1">REPT(R$2,SUM(--(MID($A6,ROW(INDIRECT("1:"&amp;LEN($A6))),1)=R$2)))</f>
        <v/>
      </c>
      <c r="S6" s="1" t="str" cm="1">
        <f t="array" aca="1" ref="S6" ca="1">REPT(S$2,SUM(--(MID($A6,ROW(INDIRECT("1:"&amp;LEN($A6))),1)=S$2)))</f>
        <v/>
      </c>
      <c r="T6" s="1" t="str" cm="1">
        <f t="array" aca="1" ref="T6" ca="1">REPT(T$2,SUM(--(MID($A6,ROW(INDIRECT("1:"&amp;LEN($A6))),1)=T$2)))</f>
        <v/>
      </c>
      <c r="U6" s="1" t="str" cm="1">
        <f t="array" aca="1" ref="U6" ca="1">REPT(U$2,SUM(--(MID($A6,ROW(INDIRECT("1:"&amp;LEN($A6))),1)=U$2)))</f>
        <v>TT</v>
      </c>
      <c r="V6" s="1" t="str" cm="1">
        <f t="array" aca="1" ref="V6" ca="1">REPT(V$2,SUM(--(MID($A6,ROW(INDIRECT("1:"&amp;LEN($A6))),1)=V$2)))</f>
        <v>U</v>
      </c>
      <c r="W6" s="1" t="str" cm="1">
        <f t="array" aca="1" ref="W6" ca="1">REPT(W$2,SUM(--(MID($A6,ROW(INDIRECT("1:"&amp;LEN($A6))),1)=W$2)))</f>
        <v/>
      </c>
      <c r="X6" s="1" t="str" cm="1">
        <f t="array" aca="1" ref="X6" ca="1">REPT(X$2,SUM(--(MID($A6,ROW(INDIRECT("1:"&amp;LEN($A6))),1)=X$2)))</f>
        <v/>
      </c>
      <c r="Y6" s="1" t="str" cm="1">
        <f t="array" aca="1" ref="Y6" ca="1">REPT(Y$2,SUM(--(MID($A6,ROW(INDIRECT("1:"&amp;LEN($A6))),1)=Y$2)))</f>
        <v/>
      </c>
      <c r="Z6" s="1" t="str" cm="1">
        <f t="array" aca="1" ref="Z6" ca="1">REPT(Z$2,SUM(--(MID($A6,ROW(INDIRECT("1:"&amp;LEN($A6))),1)=Z$2)))</f>
        <v/>
      </c>
      <c r="AA6" s="1" t="str" cm="1">
        <f t="array" aca="1" ref="AA6" ca="1">REPT(AA$2,SUM(--(MID($A6,ROW(INDIRECT("1:"&amp;LEN($A6))),1)=AA$2)))</f>
        <v/>
      </c>
    </row>
    <row r="7" spans="1:27" x14ac:dyDescent="0.3">
      <c r="A7" s="21" t="s">
        <v>200</v>
      </c>
      <c r="B7" s="1" t="str" cm="1">
        <f t="array" aca="1" ref="B7" ca="1">REPT(B$2,SUM(--(MID($A7,ROW(INDIRECT("1:"&amp;LEN($A7))),1)=B$2)))</f>
        <v>AA</v>
      </c>
      <c r="C7" s="1" t="str" cm="1">
        <f t="array" aca="1" ref="C7" ca="1">REPT(C$2,SUM(--(MID($A7,ROW(INDIRECT("1:"&amp;LEN($A7))),1)=C$2)))</f>
        <v/>
      </c>
      <c r="D7" s="1" t="str" cm="1">
        <f t="array" aca="1" ref="D7" ca="1">REPT(D$2,SUM(--(MID($A7,ROW(INDIRECT("1:"&amp;LEN($A7))),1)=D$2)))</f>
        <v/>
      </c>
      <c r="E7" s="1" t="str" cm="1">
        <f t="array" aca="1" ref="E7" ca="1">REPT(E$2,SUM(--(MID($A7,ROW(INDIRECT("1:"&amp;LEN($A7))),1)=E$2)))</f>
        <v>DD</v>
      </c>
      <c r="F7" s="1" t="str" cm="1">
        <f t="array" aca="1" ref="F7" ca="1">REPT(F$2,SUM(--(MID($A7,ROW(INDIRECT("1:"&amp;LEN($A7))),1)=F$2)))</f>
        <v/>
      </c>
      <c r="G7" s="1" t="str" cm="1">
        <f t="array" aca="1" ref="G7" ca="1">REPT(G$2,SUM(--(MID($A7,ROW(INDIRECT("1:"&amp;LEN($A7))),1)=G$2)))</f>
        <v/>
      </c>
      <c r="H7" s="1" t="str" cm="1">
        <f t="array" aca="1" ref="H7" ca="1">REPT(H$2,SUM(--(MID($A7,ROW(INDIRECT("1:"&amp;LEN($A7))),1)=H$2)))</f>
        <v/>
      </c>
      <c r="I7" s="1" t="str" cm="1">
        <f t="array" aca="1" ref="I7" ca="1">REPT(I$2,SUM(--(MID($A7,ROW(INDIRECT("1:"&amp;LEN($A7))),1)=I$2)))</f>
        <v/>
      </c>
      <c r="J7" s="1" t="str" cm="1">
        <f t="array" aca="1" ref="J7" ca="1">REPT(J$2,SUM(--(MID($A7,ROW(INDIRECT("1:"&amp;LEN($A7))),1)=J$2)))</f>
        <v>II</v>
      </c>
      <c r="K7" s="1" t="str" cm="1">
        <f t="array" aca="1" ref="K7" ca="1">REPT(K$2,SUM(--(MID($A7,ROW(INDIRECT("1:"&amp;LEN($A7))),1)=K$2)))</f>
        <v/>
      </c>
      <c r="L7" s="1" t="str" cm="1">
        <f t="array" aca="1" ref="L7" ca="1">REPT(L$2,SUM(--(MID($A7,ROW(INDIRECT("1:"&amp;LEN($A7))),1)=L$2)))</f>
        <v/>
      </c>
      <c r="M7" s="1" t="str" cm="1">
        <f t="array" aca="1" ref="M7" ca="1">REPT(M$2,SUM(--(MID($A7,ROW(INDIRECT("1:"&amp;LEN($A7))),1)=M$2)))</f>
        <v>L</v>
      </c>
      <c r="N7" s="1" t="str" cm="1">
        <f t="array" aca="1" ref="N7" ca="1">REPT(N$2,SUM(--(MID($A7,ROW(INDIRECT("1:"&amp;LEN($A7))),1)=N$2)))</f>
        <v>M</v>
      </c>
      <c r="O7" s="1" t="str" cm="1">
        <f t="array" aca="1" ref="O7" ca="1">REPT(O$2,SUM(--(MID($A7,ROW(INDIRECT("1:"&amp;LEN($A7))),1)=O$2)))</f>
        <v>N</v>
      </c>
      <c r="P7" s="1" t="str" cm="1">
        <f t="array" aca="1" ref="P7" ca="1">REPT(P$2,SUM(--(MID($A7,ROW(INDIRECT("1:"&amp;LEN($A7))),1)=P$2)))</f>
        <v/>
      </c>
      <c r="Q7" s="1" t="str" cm="1">
        <f t="array" aca="1" ref="Q7" ca="1">REPT(Q$2,SUM(--(MID($A7,ROW(INDIRECT("1:"&amp;LEN($A7))),1)=Q$2)))</f>
        <v/>
      </c>
      <c r="R7" s="1" t="str" cm="1">
        <f t="array" aca="1" ref="R7" ca="1">REPT(R$2,SUM(--(MID($A7,ROW(INDIRECT("1:"&amp;LEN($A7))),1)=R$2)))</f>
        <v/>
      </c>
      <c r="S7" s="1" t="str" cm="1">
        <f t="array" aca="1" ref="S7" ca="1">REPT(S$2,SUM(--(MID($A7,ROW(INDIRECT("1:"&amp;LEN($A7))),1)=S$2)))</f>
        <v>R</v>
      </c>
      <c r="T7" s="1" t="str" cm="1">
        <f t="array" aca="1" ref="T7" ca="1">REPT(T$2,SUM(--(MID($A7,ROW(INDIRECT("1:"&amp;LEN($A7))),1)=T$2)))</f>
        <v/>
      </c>
      <c r="U7" s="1" t="str" cm="1">
        <f t="array" aca="1" ref="U7" ca="1">REPT(U$2,SUM(--(MID($A7,ROW(INDIRECT("1:"&amp;LEN($A7))),1)=U$2)))</f>
        <v/>
      </c>
      <c r="V7" s="1" t="str" cm="1">
        <f t="array" aca="1" ref="V7" ca="1">REPT(V$2,SUM(--(MID($A7,ROW(INDIRECT("1:"&amp;LEN($A7))),1)=V$2)))</f>
        <v/>
      </c>
      <c r="W7" s="1" t="str" cm="1">
        <f t="array" aca="1" ref="W7" ca="1">REPT(W$2,SUM(--(MID($A7,ROW(INDIRECT("1:"&amp;LEN($A7))),1)=W$2)))</f>
        <v>V</v>
      </c>
      <c r="X7" s="1" t="str" cm="1">
        <f t="array" aca="1" ref="X7" ca="1">REPT(X$2,SUM(--(MID($A7,ROW(INDIRECT("1:"&amp;LEN($A7))),1)=X$2)))</f>
        <v/>
      </c>
      <c r="Y7" s="1" t="str" cm="1">
        <f t="array" aca="1" ref="Y7" ca="1">REPT(Y$2,SUM(--(MID($A7,ROW(INDIRECT("1:"&amp;LEN($A7))),1)=Y$2)))</f>
        <v/>
      </c>
      <c r="Z7" s="1" t="str" cm="1">
        <f t="array" aca="1" ref="Z7" ca="1">REPT(Z$2,SUM(--(MID($A7,ROW(INDIRECT("1:"&amp;LEN($A7))),1)=Z$2)))</f>
        <v>Y</v>
      </c>
      <c r="AA7" s="1" t="str" cm="1">
        <f t="array" aca="1" ref="AA7" ca="1">REPT(AA$2,SUM(--(MID($A7,ROW(INDIRECT("1:"&amp;LEN($A7))),1)=AA$2)))</f>
        <v/>
      </c>
    </row>
    <row r="8" spans="1:27" x14ac:dyDescent="0.3">
      <c r="A8" s="21" t="s">
        <v>201</v>
      </c>
      <c r="B8" s="1" t="str" cm="1">
        <f t="array" aca="1" ref="B8" ca="1">REPT(B$2,SUM(--(MID($A8,ROW(INDIRECT("1:"&amp;LEN($A8))),1)=B$2)))</f>
        <v/>
      </c>
      <c r="C8" s="1" t="str" cm="1">
        <f t="array" aca="1" ref="C8" ca="1">REPT(C$2,SUM(--(MID($A8,ROW(INDIRECT("1:"&amp;LEN($A8))),1)=C$2)))</f>
        <v/>
      </c>
      <c r="D8" s="1" t="str" cm="1">
        <f t="array" aca="1" ref="D8" ca="1">REPT(D$2,SUM(--(MID($A8,ROW(INDIRECT("1:"&amp;LEN($A8))),1)=D$2)))</f>
        <v>C</v>
      </c>
      <c r="E8" s="1" t="str" cm="1">
        <f t="array" aca="1" ref="E8" ca="1">REPT(E$2,SUM(--(MID($A8,ROW(INDIRECT("1:"&amp;LEN($A8))),1)=E$2)))</f>
        <v/>
      </c>
      <c r="F8" s="1" t="str" cm="1">
        <f t="array" aca="1" ref="F8" ca="1">REPT(F$2,SUM(--(MID($A8,ROW(INDIRECT("1:"&amp;LEN($A8))),1)=F$2)))</f>
        <v>EE</v>
      </c>
      <c r="G8" s="1" t="str" cm="1">
        <f t="array" aca="1" ref="G8" ca="1">REPT(G$2,SUM(--(MID($A8,ROW(INDIRECT("1:"&amp;LEN($A8))),1)=G$2)))</f>
        <v/>
      </c>
      <c r="H8" s="1" t="str" cm="1">
        <f t="array" aca="1" ref="H8" ca="1">REPT(H$2,SUM(--(MID($A8,ROW(INDIRECT("1:"&amp;LEN($A8))),1)=H$2)))</f>
        <v/>
      </c>
      <c r="I8" s="1" t="str" cm="1">
        <f t="array" aca="1" ref="I8" ca="1">REPT(I$2,SUM(--(MID($A8,ROW(INDIRECT("1:"&amp;LEN($A8))),1)=I$2)))</f>
        <v/>
      </c>
      <c r="J8" s="1" t="str" cm="1">
        <f t="array" aca="1" ref="J8" ca="1">REPT(J$2,SUM(--(MID($A8,ROW(INDIRECT("1:"&amp;LEN($A8))),1)=J$2)))</f>
        <v>II</v>
      </c>
      <c r="K8" s="1" t="str" cm="1">
        <f t="array" aca="1" ref="K8" ca="1">REPT(K$2,SUM(--(MID($A8,ROW(INDIRECT("1:"&amp;LEN($A8))),1)=K$2)))</f>
        <v/>
      </c>
      <c r="L8" s="1" t="str" cm="1">
        <f t="array" aca="1" ref="L8" ca="1">REPT(L$2,SUM(--(MID($A8,ROW(INDIRECT("1:"&amp;LEN($A8))),1)=L$2)))</f>
        <v>K</v>
      </c>
      <c r="M8" s="1" t="str" cm="1">
        <f t="array" aca="1" ref="M8" ca="1">REPT(M$2,SUM(--(MID($A8,ROW(INDIRECT("1:"&amp;LEN($A8))),1)=M$2)))</f>
        <v>L</v>
      </c>
      <c r="N8" s="1" t="str" cm="1">
        <f t="array" aca="1" ref="N8" ca="1">REPT(N$2,SUM(--(MID($A8,ROW(INDIRECT("1:"&amp;LEN($A8))),1)=N$2)))</f>
        <v/>
      </c>
      <c r="O8" s="1" t="str" cm="1">
        <f t="array" aca="1" ref="O8" ca="1">REPT(O$2,SUM(--(MID($A8,ROW(INDIRECT("1:"&amp;LEN($A8))),1)=O$2)))</f>
        <v>N</v>
      </c>
      <c r="P8" s="1" t="str" cm="1">
        <f t="array" aca="1" ref="P8" ca="1">REPT(P$2,SUM(--(MID($A8,ROW(INDIRECT("1:"&amp;LEN($A8))),1)=P$2)))</f>
        <v/>
      </c>
      <c r="Q8" s="1" t="str" cm="1">
        <f t="array" aca="1" ref="Q8" ca="1">REPT(Q$2,SUM(--(MID($A8,ROW(INDIRECT("1:"&amp;LEN($A8))),1)=Q$2)))</f>
        <v/>
      </c>
      <c r="R8" s="1" t="str" cm="1">
        <f t="array" aca="1" ref="R8" ca="1">REPT(R$2,SUM(--(MID($A8,ROW(INDIRECT("1:"&amp;LEN($A8))),1)=R$2)))</f>
        <v/>
      </c>
      <c r="S8" s="1" t="str" cm="1">
        <f t="array" aca="1" ref="S8" ca="1">REPT(S$2,SUM(--(MID($A8,ROW(INDIRECT("1:"&amp;LEN($A8))),1)=S$2)))</f>
        <v>R</v>
      </c>
      <c r="T8" s="1" t="str" cm="1">
        <f t="array" aca="1" ref="T8" ca="1">REPT(T$2,SUM(--(MID($A8,ROW(INDIRECT("1:"&amp;LEN($A8))),1)=T$2)))</f>
        <v>S</v>
      </c>
      <c r="U8" s="1" t="str" cm="1">
        <f t="array" aca="1" ref="U8" ca="1">REPT(U$2,SUM(--(MID($A8,ROW(INDIRECT("1:"&amp;LEN($A8))),1)=U$2)))</f>
        <v>T</v>
      </c>
      <c r="V8" s="1" t="str" cm="1">
        <f t="array" aca="1" ref="V8" ca="1">REPT(V$2,SUM(--(MID($A8,ROW(INDIRECT("1:"&amp;LEN($A8))),1)=V$2)))</f>
        <v/>
      </c>
      <c r="W8" s="1" t="str" cm="1">
        <f t="array" aca="1" ref="W8" ca="1">REPT(W$2,SUM(--(MID($A8,ROW(INDIRECT("1:"&amp;LEN($A8))),1)=W$2)))</f>
        <v/>
      </c>
      <c r="X8" s="1" t="str" cm="1">
        <f t="array" aca="1" ref="X8" ca="1">REPT(X$2,SUM(--(MID($A8,ROW(INDIRECT("1:"&amp;LEN($A8))),1)=X$2)))</f>
        <v/>
      </c>
      <c r="Y8" s="1" t="str" cm="1">
        <f t="array" aca="1" ref="Y8" ca="1">REPT(Y$2,SUM(--(MID($A8,ROW(INDIRECT("1:"&amp;LEN($A8))),1)=Y$2)))</f>
        <v/>
      </c>
      <c r="Z8" s="1" t="str" cm="1">
        <f t="array" aca="1" ref="Z8" ca="1">REPT(Z$2,SUM(--(MID($A8,ROW(INDIRECT("1:"&amp;LEN($A8))),1)=Z$2)))</f>
        <v/>
      </c>
      <c r="AA8" s="1" t="str" cm="1">
        <f t="array" aca="1" ref="AA8" ca="1">REPT(AA$2,SUM(--(MID($A8,ROW(INDIRECT("1:"&amp;LEN($A8))),1)=AA$2)))</f>
        <v/>
      </c>
    </row>
    <row r="9" spans="1:27" x14ac:dyDescent="0.3">
      <c r="A9" s="21" t="s">
        <v>202</v>
      </c>
      <c r="B9" s="1" t="str" cm="1">
        <f t="array" aca="1" ref="B9" ca="1">REPT(B$2,SUM(--(MID($A9,ROW(INDIRECT("1:"&amp;LEN($A9))),1)=B$2)))</f>
        <v/>
      </c>
      <c r="C9" s="1" t="str" cm="1">
        <f t="array" aca="1" ref="C9" ca="1">REPT(C$2,SUM(--(MID($A9,ROW(INDIRECT("1:"&amp;LEN($A9))),1)=C$2)))</f>
        <v/>
      </c>
      <c r="D9" s="1" t="str" cm="1">
        <f t="array" aca="1" ref="D9" ca="1">REPT(D$2,SUM(--(MID($A9,ROW(INDIRECT("1:"&amp;LEN($A9))),1)=D$2)))</f>
        <v/>
      </c>
      <c r="E9" s="1" t="str" cm="1">
        <f t="array" aca="1" ref="E9" ca="1">REPT(E$2,SUM(--(MID($A9,ROW(INDIRECT("1:"&amp;LEN($A9))),1)=E$2)))</f>
        <v/>
      </c>
      <c r="F9" s="1" t="str" cm="1">
        <f t="array" aca="1" ref="F9" ca="1">REPT(F$2,SUM(--(MID($A9,ROW(INDIRECT("1:"&amp;LEN($A9))),1)=F$2)))</f>
        <v>EEE</v>
      </c>
      <c r="G9" s="1" t="str" cm="1">
        <f t="array" aca="1" ref="G9" ca="1">REPT(G$2,SUM(--(MID($A9,ROW(INDIRECT("1:"&amp;LEN($A9))),1)=G$2)))</f>
        <v/>
      </c>
      <c r="H9" s="1" t="str" cm="1">
        <f t="array" aca="1" ref="H9" ca="1">REPT(H$2,SUM(--(MID($A9,ROW(INDIRECT("1:"&amp;LEN($A9))),1)=H$2)))</f>
        <v>GG</v>
      </c>
      <c r="I9" s="1" t="str" cm="1">
        <f t="array" aca="1" ref="I9" ca="1">REPT(I$2,SUM(--(MID($A9,ROW(INDIRECT("1:"&amp;LEN($A9))),1)=I$2)))</f>
        <v>H</v>
      </c>
      <c r="J9" s="1" t="str" cm="1">
        <f t="array" aca="1" ref="J9" ca="1">REPT(J$2,SUM(--(MID($A9,ROW(INDIRECT("1:"&amp;LEN($A9))),1)=J$2)))</f>
        <v>I</v>
      </c>
      <c r="K9" s="1" t="str" cm="1">
        <f t="array" aca="1" ref="K9" ca="1">REPT(K$2,SUM(--(MID($A9,ROW(INDIRECT("1:"&amp;LEN($A9))),1)=K$2)))</f>
        <v/>
      </c>
      <c r="L9" s="1" t="str" cm="1">
        <f t="array" aca="1" ref="L9" ca="1">REPT(L$2,SUM(--(MID($A9,ROW(INDIRECT("1:"&amp;LEN($A9))),1)=L$2)))</f>
        <v/>
      </c>
      <c r="M9" s="1" t="str" cm="1">
        <f t="array" aca="1" ref="M9" ca="1">REPT(M$2,SUM(--(MID($A9,ROW(INDIRECT("1:"&amp;LEN($A9))),1)=M$2)))</f>
        <v/>
      </c>
      <c r="N9" s="1" t="str" cm="1">
        <f t="array" aca="1" ref="N9" ca="1">REPT(N$2,SUM(--(MID($A9,ROW(INDIRECT("1:"&amp;LEN($A9))),1)=N$2)))</f>
        <v>M</v>
      </c>
      <c r="O9" s="1" t="str" cm="1">
        <f t="array" aca="1" ref="O9" ca="1">REPT(O$2,SUM(--(MID($A9,ROW(INDIRECT("1:"&amp;LEN($A9))),1)=O$2)))</f>
        <v>N</v>
      </c>
      <c r="P9" s="1" t="str" cm="1">
        <f t="array" aca="1" ref="P9" ca="1">REPT(P$2,SUM(--(MID($A9,ROW(INDIRECT("1:"&amp;LEN($A9))),1)=P$2)))</f>
        <v>OO</v>
      </c>
      <c r="Q9" s="1" t="str" cm="1">
        <f t="array" aca="1" ref="Q9" ca="1">REPT(Q$2,SUM(--(MID($A9,ROW(INDIRECT("1:"&amp;LEN($A9))),1)=Q$2)))</f>
        <v/>
      </c>
      <c r="R9" s="1" t="str" cm="1">
        <f t="array" aca="1" ref="R9" ca="1">REPT(R$2,SUM(--(MID($A9,ROW(INDIRECT("1:"&amp;LEN($A9))),1)=R$2)))</f>
        <v/>
      </c>
      <c r="S9" s="1" t="str" cm="1">
        <f t="array" aca="1" ref="S9" ca="1">REPT(S$2,SUM(--(MID($A9,ROW(INDIRECT("1:"&amp;LEN($A9))),1)=S$2)))</f>
        <v>RR</v>
      </c>
      <c r="T9" s="1" t="str" cm="1">
        <f t="array" aca="1" ref="T9" ca="1">REPT(T$2,SUM(--(MID($A9,ROW(INDIRECT("1:"&amp;LEN($A9))),1)=T$2)))</f>
        <v/>
      </c>
      <c r="U9" s="1" t="str" cm="1">
        <f t="array" aca="1" ref="U9" ca="1">REPT(U$2,SUM(--(MID($A9,ROW(INDIRECT("1:"&amp;LEN($A9))),1)=U$2)))</f>
        <v>T</v>
      </c>
      <c r="V9" s="1" t="str" cm="1">
        <f t="array" aca="1" ref="V9" ca="1">REPT(V$2,SUM(--(MID($A9,ROW(INDIRECT("1:"&amp;LEN($A9))),1)=V$2)))</f>
        <v/>
      </c>
      <c r="W9" s="1" t="str" cm="1">
        <f t="array" aca="1" ref="W9" ca="1">REPT(W$2,SUM(--(MID($A9,ROW(INDIRECT("1:"&amp;LEN($A9))),1)=W$2)))</f>
        <v/>
      </c>
      <c r="X9" s="1" t="str" cm="1">
        <f t="array" aca="1" ref="X9" ca="1">REPT(X$2,SUM(--(MID($A9,ROW(INDIRECT("1:"&amp;LEN($A9))),1)=X$2)))</f>
        <v/>
      </c>
      <c r="Y9" s="1" t="str" cm="1">
        <f t="array" aca="1" ref="Y9" ca="1">REPT(Y$2,SUM(--(MID($A9,ROW(INDIRECT("1:"&amp;LEN($A9))),1)=Y$2)))</f>
        <v/>
      </c>
      <c r="Z9" s="1" t="str" cm="1">
        <f t="array" aca="1" ref="Z9" ca="1">REPT(Z$2,SUM(--(MID($A9,ROW(INDIRECT("1:"&amp;LEN($A9))),1)=Z$2)))</f>
        <v/>
      </c>
      <c r="AA9" s="1" t="str" cm="1">
        <f t="array" aca="1" ref="AA9" ca="1">REPT(AA$2,SUM(--(MID($A9,ROW(INDIRECT("1:"&amp;LEN($A9))),1)=AA$2)))</f>
        <v/>
      </c>
    </row>
    <row r="10" spans="1:27" x14ac:dyDescent="0.3">
      <c r="A10" s="21" t="s">
        <v>203</v>
      </c>
      <c r="B10" s="1" t="str" cm="1">
        <f t="array" aca="1" ref="B10" ca="1">REPT(B$2,SUM(--(MID($A10,ROW(INDIRECT("1:"&amp;LEN($A10))),1)=B$2)))</f>
        <v>A</v>
      </c>
      <c r="C10" s="1" t="str" cm="1">
        <f t="array" aca="1" ref="C10" ca="1">REPT(C$2,SUM(--(MID($A10,ROW(INDIRECT("1:"&amp;LEN($A10))),1)=C$2)))</f>
        <v/>
      </c>
      <c r="D10" s="1" t="str" cm="1">
        <f t="array" aca="1" ref="D10" ca="1">REPT(D$2,SUM(--(MID($A10,ROW(INDIRECT("1:"&amp;LEN($A10))),1)=D$2)))</f>
        <v/>
      </c>
      <c r="E10" s="1" t="str" cm="1">
        <f t="array" aca="1" ref="E10" ca="1">REPT(E$2,SUM(--(MID($A10,ROW(INDIRECT("1:"&amp;LEN($A10))),1)=E$2)))</f>
        <v/>
      </c>
      <c r="F10" s="1" t="str" cm="1">
        <f t="array" aca="1" ref="F10" ca="1">REPT(F$2,SUM(--(MID($A10,ROW(INDIRECT("1:"&amp;LEN($A10))),1)=F$2)))</f>
        <v>EE</v>
      </c>
      <c r="G10" s="1" t="str" cm="1">
        <f t="array" aca="1" ref="G10" ca="1">REPT(G$2,SUM(--(MID($A10,ROW(INDIRECT("1:"&amp;LEN($A10))),1)=G$2)))</f>
        <v/>
      </c>
      <c r="H10" s="1" t="str" cm="1">
        <f t="array" aca="1" ref="H10" ca="1">REPT(H$2,SUM(--(MID($A10,ROW(INDIRECT("1:"&amp;LEN($A10))),1)=H$2)))</f>
        <v/>
      </c>
      <c r="I10" s="1" t="str" cm="1">
        <f t="array" aca="1" ref="I10" ca="1">REPT(I$2,SUM(--(MID($A10,ROW(INDIRECT("1:"&amp;LEN($A10))),1)=I$2)))</f>
        <v/>
      </c>
      <c r="J10" s="1" t="str" cm="1">
        <f t="array" aca="1" ref="J10" ca="1">REPT(J$2,SUM(--(MID($A10,ROW(INDIRECT("1:"&amp;LEN($A10))),1)=J$2)))</f>
        <v/>
      </c>
      <c r="K10" s="1" t="str" cm="1">
        <f t="array" aca="1" ref="K10" ca="1">REPT(K$2,SUM(--(MID($A10,ROW(INDIRECT("1:"&amp;LEN($A10))),1)=K$2)))</f>
        <v/>
      </c>
      <c r="L10" s="1" t="str" cm="1">
        <f t="array" aca="1" ref="L10" ca="1">REPT(L$2,SUM(--(MID($A10,ROW(INDIRECT("1:"&amp;LEN($A10))),1)=L$2)))</f>
        <v/>
      </c>
      <c r="M10" s="1" t="str" cm="1">
        <f t="array" aca="1" ref="M10" ca="1">REPT(M$2,SUM(--(MID($A10,ROW(INDIRECT("1:"&amp;LEN($A10))),1)=M$2)))</f>
        <v>L</v>
      </c>
      <c r="N10" s="1" t="str" cm="1">
        <f t="array" aca="1" ref="N10" ca="1">REPT(N$2,SUM(--(MID($A10,ROW(INDIRECT("1:"&amp;LEN($A10))),1)=N$2)))</f>
        <v/>
      </c>
      <c r="O10" s="1" t="str" cm="1">
        <f t="array" aca="1" ref="O10" ca="1">REPT(O$2,SUM(--(MID($A10,ROW(INDIRECT("1:"&amp;LEN($A10))),1)=O$2)))</f>
        <v>N</v>
      </c>
      <c r="P10" s="1" t="str" cm="1">
        <f t="array" aca="1" ref="P10" ca="1">REPT(P$2,SUM(--(MID($A10,ROW(INDIRECT("1:"&amp;LEN($A10))),1)=P$2)))</f>
        <v>O</v>
      </c>
      <c r="Q10" s="1" t="str" cm="1">
        <f t="array" aca="1" ref="Q10" ca="1">REPT(Q$2,SUM(--(MID($A10,ROW(INDIRECT("1:"&amp;LEN($A10))),1)=Q$2)))</f>
        <v/>
      </c>
      <c r="R10" s="1" t="str" cm="1">
        <f t="array" aca="1" ref="R10" ca="1">REPT(R$2,SUM(--(MID($A10,ROW(INDIRECT("1:"&amp;LEN($A10))),1)=R$2)))</f>
        <v/>
      </c>
      <c r="S10" s="1" t="str" cm="1">
        <f t="array" aca="1" ref="S10" ca="1">REPT(S$2,SUM(--(MID($A10,ROW(INDIRECT("1:"&amp;LEN($A10))),1)=S$2)))</f>
        <v>R</v>
      </c>
      <c r="T10" s="1" t="str" cm="1">
        <f t="array" aca="1" ref="T10" ca="1">REPT(T$2,SUM(--(MID($A10,ROW(INDIRECT("1:"&amp;LEN($A10))),1)=T$2)))</f>
        <v>S</v>
      </c>
      <c r="U10" s="1" t="str" cm="1">
        <f t="array" aca="1" ref="U10" ca="1">REPT(U$2,SUM(--(MID($A10,ROW(INDIRECT("1:"&amp;LEN($A10))),1)=U$2)))</f>
        <v/>
      </c>
      <c r="V10" s="1" t="str" cm="1">
        <f t="array" aca="1" ref="V10" ca="1">REPT(V$2,SUM(--(MID($A10,ROW(INDIRECT("1:"&amp;LEN($A10))),1)=V$2)))</f>
        <v/>
      </c>
      <c r="W10" s="1" t="str" cm="1">
        <f t="array" aca="1" ref="W10" ca="1">REPT(W$2,SUM(--(MID($A10,ROW(INDIRECT("1:"&amp;LEN($A10))),1)=W$2)))</f>
        <v/>
      </c>
      <c r="X10" s="1" t="str" cm="1">
        <f t="array" aca="1" ref="X10" ca="1">REPT(X$2,SUM(--(MID($A10,ROW(INDIRECT("1:"&amp;LEN($A10))),1)=X$2)))</f>
        <v>W</v>
      </c>
      <c r="Y10" s="1" t="str" cm="1">
        <f t="array" aca="1" ref="Y10" ca="1">REPT(Y$2,SUM(--(MID($A10,ROW(INDIRECT("1:"&amp;LEN($A10))),1)=Y$2)))</f>
        <v/>
      </c>
      <c r="Z10" s="1" t="str" cm="1">
        <f t="array" aca="1" ref="Z10" ca="1">REPT(Z$2,SUM(--(MID($A10,ROW(INDIRECT("1:"&amp;LEN($A10))),1)=Z$2)))</f>
        <v>Y</v>
      </c>
      <c r="AA10" s="1" t="str" cm="1">
        <f t="array" aca="1" ref="AA10" ca="1">REPT(AA$2,SUM(--(MID($A10,ROW(INDIRECT("1:"&amp;LEN($A10))),1)=AA$2)))</f>
        <v/>
      </c>
    </row>
    <row r="11" spans="1:27" x14ac:dyDescent="0.3">
      <c r="A11" s="21" t="s">
        <v>204</v>
      </c>
      <c r="B11" s="1" t="str" cm="1">
        <f t="array" aca="1" ref="B11" ca="1">REPT(B$2,SUM(--(MID($A11,ROW(INDIRECT("1:"&amp;LEN($A11))),1)=B$2)))</f>
        <v/>
      </c>
      <c r="C11" s="1" t="str" cm="1">
        <f t="array" aca="1" ref="C11" ca="1">REPT(C$2,SUM(--(MID($A11,ROW(INDIRECT("1:"&amp;LEN($A11))),1)=C$2)))</f>
        <v>B</v>
      </c>
      <c r="D11" s="1" t="str" cm="1">
        <f t="array" aca="1" ref="D11" ca="1">REPT(D$2,SUM(--(MID($A11,ROW(INDIRECT("1:"&amp;LEN($A11))),1)=D$2)))</f>
        <v/>
      </c>
      <c r="E11" s="1" t="str" cm="1">
        <f t="array" aca="1" ref="E11" ca="1">REPT(E$2,SUM(--(MID($A11,ROW(INDIRECT("1:"&amp;LEN($A11))),1)=E$2)))</f>
        <v>DD</v>
      </c>
      <c r="F11" s="1" t="str" cm="1">
        <f t="array" aca="1" ref="F11" ca="1">REPT(F$2,SUM(--(MID($A11,ROW(INDIRECT("1:"&amp;LEN($A11))),1)=F$2)))</f>
        <v>E</v>
      </c>
      <c r="G11" s="1" t="str" cm="1">
        <f t="array" aca="1" ref="G11" ca="1">REPT(G$2,SUM(--(MID($A11,ROW(INDIRECT("1:"&amp;LEN($A11))),1)=G$2)))</f>
        <v/>
      </c>
      <c r="H11" s="1" t="str" cm="1">
        <f t="array" aca="1" ref="H11" ca="1">REPT(H$2,SUM(--(MID($A11,ROW(INDIRECT("1:"&amp;LEN($A11))),1)=H$2)))</f>
        <v/>
      </c>
      <c r="I11" s="1" t="str" cm="1">
        <f t="array" aca="1" ref="I11" ca="1">REPT(I$2,SUM(--(MID($A11,ROW(INDIRECT("1:"&amp;LEN($A11))),1)=I$2)))</f>
        <v/>
      </c>
      <c r="J11" s="1" t="str" cm="1">
        <f t="array" aca="1" ref="J11" ca="1">REPT(J$2,SUM(--(MID($A11,ROW(INDIRECT("1:"&amp;LEN($A11))),1)=J$2)))</f>
        <v>I</v>
      </c>
      <c r="K11" s="1" t="str" cm="1">
        <f t="array" aca="1" ref="K11" ca="1">REPT(K$2,SUM(--(MID($A11,ROW(INDIRECT("1:"&amp;LEN($A11))),1)=K$2)))</f>
        <v/>
      </c>
      <c r="L11" s="1" t="str" cm="1">
        <f t="array" aca="1" ref="L11" ca="1">REPT(L$2,SUM(--(MID($A11,ROW(INDIRECT("1:"&amp;LEN($A11))),1)=L$2)))</f>
        <v/>
      </c>
      <c r="M11" s="1" t="str" cm="1">
        <f t="array" aca="1" ref="M11" ca="1">REPT(M$2,SUM(--(MID($A11,ROW(INDIRECT("1:"&amp;LEN($A11))),1)=M$2)))</f>
        <v>L</v>
      </c>
      <c r="N11" s="1" t="str" cm="1">
        <f t="array" aca="1" ref="N11" ca="1">REPT(N$2,SUM(--(MID($A11,ROW(INDIRECT("1:"&amp;LEN($A11))),1)=N$2)))</f>
        <v>M</v>
      </c>
      <c r="O11" s="1" t="str" cm="1">
        <f t="array" aca="1" ref="O11" ca="1">REPT(O$2,SUM(--(MID($A11,ROW(INDIRECT("1:"&amp;LEN($A11))),1)=O$2)))</f>
        <v/>
      </c>
      <c r="P11" s="1" t="str" cm="1">
        <f t="array" aca="1" ref="P11" ca="1">REPT(P$2,SUM(--(MID($A11,ROW(INDIRECT("1:"&amp;LEN($A11))),1)=P$2)))</f>
        <v>O</v>
      </c>
      <c r="Q11" s="1" t="str" cm="1">
        <f t="array" aca="1" ref="Q11" ca="1">REPT(Q$2,SUM(--(MID($A11,ROW(INDIRECT("1:"&amp;LEN($A11))),1)=Q$2)))</f>
        <v/>
      </c>
      <c r="R11" s="1" t="str" cm="1">
        <f t="array" aca="1" ref="R11" ca="1">REPT(R$2,SUM(--(MID($A11,ROW(INDIRECT("1:"&amp;LEN($A11))),1)=R$2)))</f>
        <v/>
      </c>
      <c r="S11" s="1" t="str" cm="1">
        <f t="array" aca="1" ref="S11" ca="1">REPT(S$2,SUM(--(MID($A11,ROW(INDIRECT("1:"&amp;LEN($A11))),1)=S$2)))</f>
        <v>RR</v>
      </c>
      <c r="T11" s="1" t="str" cm="1">
        <f t="array" aca="1" ref="T11" ca="1">REPT(T$2,SUM(--(MID($A11,ROW(INDIRECT("1:"&amp;LEN($A11))),1)=T$2)))</f>
        <v>S</v>
      </c>
      <c r="U11" s="1" t="str" cm="1">
        <f t="array" aca="1" ref="U11" ca="1">REPT(U$2,SUM(--(MID($A11,ROW(INDIRECT("1:"&amp;LEN($A11))),1)=U$2)))</f>
        <v/>
      </c>
      <c r="V11" s="1" t="str" cm="1">
        <f t="array" aca="1" ref="V11" ca="1">REPT(V$2,SUM(--(MID($A11,ROW(INDIRECT("1:"&amp;LEN($A11))),1)=V$2)))</f>
        <v>U</v>
      </c>
      <c r="W11" s="1" t="str" cm="1">
        <f t="array" aca="1" ref="W11" ca="1">REPT(W$2,SUM(--(MID($A11,ROW(INDIRECT("1:"&amp;LEN($A11))),1)=W$2)))</f>
        <v/>
      </c>
      <c r="X11" s="1" t="str" cm="1">
        <f t="array" aca="1" ref="X11" ca="1">REPT(X$2,SUM(--(MID($A11,ROW(INDIRECT("1:"&amp;LEN($A11))),1)=X$2)))</f>
        <v/>
      </c>
      <c r="Y11" s="1" t="str" cm="1">
        <f t="array" aca="1" ref="Y11" ca="1">REPT(Y$2,SUM(--(MID($A11,ROW(INDIRECT("1:"&amp;LEN($A11))),1)=Y$2)))</f>
        <v/>
      </c>
      <c r="Z11" s="1" t="str" cm="1">
        <f t="array" aca="1" ref="Z11" ca="1">REPT(Z$2,SUM(--(MID($A11,ROW(INDIRECT("1:"&amp;LEN($A11))),1)=Z$2)))</f>
        <v/>
      </c>
      <c r="AA11" s="1" t="str" cm="1">
        <f t="array" aca="1" ref="AA11" ca="1">REPT(AA$2,SUM(--(MID($A11,ROW(INDIRECT("1:"&amp;LEN($A11))),1)=AA$2)))</f>
        <v/>
      </c>
    </row>
    <row r="12" spans="1:27" x14ac:dyDescent="0.3">
      <c r="A12" s="21" t="s">
        <v>205</v>
      </c>
      <c r="B12" s="1" t="str" cm="1">
        <f t="array" aca="1" ref="B12" ca="1">REPT(B$2,SUM(--(MID($A12,ROW(INDIRECT("1:"&amp;LEN($A12))),1)=B$2)))</f>
        <v>A</v>
      </c>
      <c r="C12" s="1" t="str" cm="1">
        <f t="array" aca="1" ref="C12" ca="1">REPT(C$2,SUM(--(MID($A12,ROW(INDIRECT("1:"&amp;LEN($A12))),1)=C$2)))</f>
        <v/>
      </c>
      <c r="D12" s="1" t="str" cm="1">
        <f t="array" aca="1" ref="D12" ca="1">REPT(D$2,SUM(--(MID($A12,ROW(INDIRECT("1:"&amp;LEN($A12))),1)=D$2)))</f>
        <v>C</v>
      </c>
      <c r="E12" s="1" t="str" cm="1">
        <f t="array" aca="1" ref="E12" ca="1">REPT(E$2,SUM(--(MID($A12,ROW(INDIRECT("1:"&amp;LEN($A12))),1)=E$2)))</f>
        <v/>
      </c>
      <c r="F12" s="1" t="str" cm="1">
        <f t="array" aca="1" ref="F12" ca="1">REPT(F$2,SUM(--(MID($A12,ROW(INDIRECT("1:"&amp;LEN($A12))),1)=F$2)))</f>
        <v>E</v>
      </c>
      <c r="G12" s="1" t="str" cm="1">
        <f t="array" aca="1" ref="G12" ca="1">REPT(G$2,SUM(--(MID($A12,ROW(INDIRECT("1:"&amp;LEN($A12))),1)=G$2)))</f>
        <v/>
      </c>
      <c r="H12" s="1" t="str" cm="1">
        <f t="array" aca="1" ref="H12" ca="1">REPT(H$2,SUM(--(MID($A12,ROW(INDIRECT("1:"&amp;LEN($A12))),1)=H$2)))</f>
        <v/>
      </c>
      <c r="I12" s="1" t="str" cm="1">
        <f t="array" aca="1" ref="I12" ca="1">REPT(I$2,SUM(--(MID($A12,ROW(INDIRECT("1:"&amp;LEN($A12))),1)=I$2)))</f>
        <v/>
      </c>
      <c r="J12" s="1" t="str" cm="1">
        <f t="array" aca="1" ref="J12" ca="1">REPT(J$2,SUM(--(MID($A12,ROW(INDIRECT("1:"&amp;LEN($A12))),1)=J$2)))</f>
        <v/>
      </c>
      <c r="K12" s="1" t="str" cm="1">
        <f t="array" aca="1" ref="K12" ca="1">REPT(K$2,SUM(--(MID($A12,ROW(INDIRECT("1:"&amp;LEN($A12))),1)=K$2)))</f>
        <v>J</v>
      </c>
      <c r="L12" s="1" t="str" cm="1">
        <f t="array" aca="1" ref="L12" ca="1">REPT(L$2,SUM(--(MID($A12,ROW(INDIRECT("1:"&amp;LEN($A12))),1)=L$2)))</f>
        <v>K</v>
      </c>
      <c r="M12" s="1" t="str" cm="1">
        <f t="array" aca="1" ref="M12" ca="1">REPT(M$2,SUM(--(MID($A12,ROW(INDIRECT("1:"&amp;LEN($A12))),1)=M$2)))</f>
        <v/>
      </c>
      <c r="N12" s="1" t="str" cm="1">
        <f t="array" aca="1" ref="N12" ca="1">REPT(N$2,SUM(--(MID($A12,ROW(INDIRECT("1:"&amp;LEN($A12))),1)=N$2)))</f>
        <v/>
      </c>
      <c r="O12" s="1" t="str" cm="1">
        <f t="array" aca="1" ref="O12" ca="1">REPT(O$2,SUM(--(MID($A12,ROW(INDIRECT("1:"&amp;LEN($A12))),1)=O$2)))</f>
        <v>N</v>
      </c>
      <c r="P12" s="1" t="str" cm="1">
        <f t="array" aca="1" ref="P12" ca="1">REPT(P$2,SUM(--(MID($A12,ROW(INDIRECT("1:"&amp;LEN($A12))),1)=P$2)))</f>
        <v>OO</v>
      </c>
      <c r="Q12" s="1" t="str" cm="1">
        <f t="array" aca="1" ref="Q12" ca="1">REPT(Q$2,SUM(--(MID($A12,ROW(INDIRECT("1:"&amp;LEN($A12))),1)=Q$2)))</f>
        <v/>
      </c>
      <c r="R12" s="1" t="str" cm="1">
        <f t="array" aca="1" ref="R12" ca="1">REPT(R$2,SUM(--(MID($A12,ROW(INDIRECT("1:"&amp;LEN($A12))),1)=R$2)))</f>
        <v/>
      </c>
      <c r="S12" s="1" t="str" cm="1">
        <f t="array" aca="1" ref="S12" ca="1">REPT(S$2,SUM(--(MID($A12,ROW(INDIRECT("1:"&amp;LEN($A12))),1)=S$2)))</f>
        <v>R</v>
      </c>
      <c r="T12" s="1" t="str" cm="1">
        <f t="array" aca="1" ref="T12" ca="1">REPT(T$2,SUM(--(MID($A12,ROW(INDIRECT("1:"&amp;LEN($A12))),1)=T$2)))</f>
        <v>SS</v>
      </c>
      <c r="U12" s="1" t="str" cm="1">
        <f t="array" aca="1" ref="U12" ca="1">REPT(U$2,SUM(--(MID($A12,ROW(INDIRECT("1:"&amp;LEN($A12))),1)=U$2)))</f>
        <v/>
      </c>
      <c r="V12" s="1" t="str" cm="1">
        <f t="array" aca="1" ref="V12" ca="1">REPT(V$2,SUM(--(MID($A12,ROW(INDIRECT("1:"&amp;LEN($A12))),1)=V$2)))</f>
        <v/>
      </c>
      <c r="W12" s="1" t="str" cm="1">
        <f t="array" aca="1" ref="W12" ca="1">REPT(W$2,SUM(--(MID($A12,ROW(INDIRECT("1:"&amp;LEN($A12))),1)=W$2)))</f>
        <v/>
      </c>
      <c r="X12" s="1" t="str" cm="1">
        <f t="array" aca="1" ref="X12" ca="1">REPT(X$2,SUM(--(MID($A12,ROW(INDIRECT("1:"&amp;LEN($A12))),1)=X$2)))</f>
        <v/>
      </c>
      <c r="Y12" s="1" t="str" cm="1">
        <f t="array" aca="1" ref="Y12" ca="1">REPT(Y$2,SUM(--(MID($A12,ROW(INDIRECT("1:"&amp;LEN($A12))),1)=Y$2)))</f>
        <v/>
      </c>
      <c r="Z12" s="1" t="str" cm="1">
        <f t="array" aca="1" ref="Z12" ca="1">REPT(Z$2,SUM(--(MID($A12,ROW(INDIRECT("1:"&amp;LEN($A12))),1)=Z$2)))</f>
        <v/>
      </c>
      <c r="AA12" s="1" t="str" cm="1">
        <f t="array" aca="1" ref="AA12" ca="1">REPT(AA$2,SUM(--(MID($A12,ROW(INDIRECT("1:"&amp;LEN($A12))),1)=AA$2)))</f>
        <v/>
      </c>
    </row>
    <row r="13" spans="1:27" x14ac:dyDescent="0.3">
      <c r="A13" s="21" t="s">
        <v>206</v>
      </c>
      <c r="B13" s="1" t="str" cm="1">
        <f t="array" aca="1" ref="B13" ca="1">REPT(B$2,SUM(--(MID($A13,ROW(INDIRECT("1:"&amp;LEN($A13))),1)=B$2)))</f>
        <v>AA</v>
      </c>
      <c r="C13" s="1" t="str" cm="1">
        <f t="array" aca="1" ref="C13" ca="1">REPT(C$2,SUM(--(MID($A13,ROW(INDIRECT("1:"&amp;LEN($A13))),1)=C$2)))</f>
        <v/>
      </c>
      <c r="D13" s="1" t="str" cm="1">
        <f t="array" aca="1" ref="D13" ca="1">REPT(D$2,SUM(--(MID($A13,ROW(INDIRECT("1:"&amp;LEN($A13))),1)=D$2)))</f>
        <v>C</v>
      </c>
      <c r="E13" s="1" t="str" cm="1">
        <f t="array" aca="1" ref="E13" ca="1">REPT(E$2,SUM(--(MID($A13,ROW(INDIRECT("1:"&amp;LEN($A13))),1)=E$2)))</f>
        <v>D</v>
      </c>
      <c r="F13" s="1" t="str" cm="1">
        <f t="array" aca="1" ref="F13" ca="1">REPT(F$2,SUM(--(MID($A13,ROW(INDIRECT("1:"&amp;LEN($A13))),1)=F$2)))</f>
        <v/>
      </c>
      <c r="G13" s="1" t="str" cm="1">
        <f t="array" aca="1" ref="G13" ca="1">REPT(G$2,SUM(--(MID($A13,ROW(INDIRECT("1:"&amp;LEN($A13))),1)=G$2)))</f>
        <v/>
      </c>
      <c r="H13" s="1" t="str" cm="1">
        <f t="array" aca="1" ref="H13" ca="1">REPT(H$2,SUM(--(MID($A13,ROW(INDIRECT("1:"&amp;LEN($A13))),1)=H$2)))</f>
        <v/>
      </c>
      <c r="I13" s="1" t="str" cm="1">
        <f t="array" aca="1" ref="I13" ca="1">REPT(I$2,SUM(--(MID($A13,ROW(INDIRECT("1:"&amp;LEN($A13))),1)=I$2)))</f>
        <v>H</v>
      </c>
      <c r="J13" s="1" t="str" cm="1">
        <f t="array" aca="1" ref="J13" ca="1">REPT(J$2,SUM(--(MID($A13,ROW(INDIRECT("1:"&amp;LEN($A13))),1)=J$2)))</f>
        <v>II</v>
      </c>
      <c r="K13" s="1" t="str" cm="1">
        <f t="array" aca="1" ref="K13" ca="1">REPT(K$2,SUM(--(MID($A13,ROW(INDIRECT("1:"&amp;LEN($A13))),1)=K$2)))</f>
        <v/>
      </c>
      <c r="L13" s="1" t="str" cm="1">
        <f t="array" aca="1" ref="L13" ca="1">REPT(L$2,SUM(--(MID($A13,ROW(INDIRECT("1:"&amp;LEN($A13))),1)=L$2)))</f>
        <v>K</v>
      </c>
      <c r="M13" s="1" t="str" cm="1">
        <f t="array" aca="1" ref="M13" ca="1">REPT(M$2,SUM(--(MID($A13,ROW(INDIRECT("1:"&amp;LEN($A13))),1)=M$2)))</f>
        <v/>
      </c>
      <c r="N13" s="1" t="str" cm="1">
        <f t="array" aca="1" ref="N13" ca="1">REPT(N$2,SUM(--(MID($A13,ROW(INDIRECT("1:"&amp;LEN($A13))),1)=N$2)))</f>
        <v/>
      </c>
      <c r="O13" s="1" t="str" cm="1">
        <f t="array" aca="1" ref="O13" ca="1">REPT(O$2,SUM(--(MID($A13,ROW(INDIRECT("1:"&amp;LEN($A13))),1)=O$2)))</f>
        <v/>
      </c>
      <c r="P13" s="1" t="str" cm="1">
        <f t="array" aca="1" ref="P13" ca="1">REPT(P$2,SUM(--(MID($A13,ROW(INDIRECT("1:"&amp;LEN($A13))),1)=P$2)))</f>
        <v/>
      </c>
      <c r="Q13" s="1" t="str" cm="1">
        <f t="array" aca="1" ref="Q13" ca="1">REPT(Q$2,SUM(--(MID($A13,ROW(INDIRECT("1:"&amp;LEN($A13))),1)=Q$2)))</f>
        <v/>
      </c>
      <c r="R13" s="1" t="str" cm="1">
        <f t="array" aca="1" ref="R13" ca="1">REPT(R$2,SUM(--(MID($A13,ROW(INDIRECT("1:"&amp;LEN($A13))),1)=R$2)))</f>
        <v/>
      </c>
      <c r="S13" s="1" t="str" cm="1">
        <f t="array" aca="1" ref="S13" ca="1">REPT(S$2,SUM(--(MID($A13,ROW(INDIRECT("1:"&amp;LEN($A13))),1)=S$2)))</f>
        <v>RR</v>
      </c>
      <c r="T13" s="1" t="str" cm="1">
        <f t="array" aca="1" ref="T13" ca="1">REPT(T$2,SUM(--(MID($A13,ROW(INDIRECT("1:"&amp;LEN($A13))),1)=T$2)))</f>
        <v>S</v>
      </c>
      <c r="U13" s="1" t="str" cm="1">
        <f t="array" aca="1" ref="U13" ca="1">REPT(U$2,SUM(--(MID($A13,ROW(INDIRECT("1:"&amp;LEN($A13))),1)=U$2)))</f>
        <v/>
      </c>
      <c r="V13" s="1" t="str" cm="1">
        <f t="array" aca="1" ref="V13" ca="1">REPT(V$2,SUM(--(MID($A13,ROW(INDIRECT("1:"&amp;LEN($A13))),1)=V$2)))</f>
        <v/>
      </c>
      <c r="W13" s="1" t="str" cm="1">
        <f t="array" aca="1" ref="W13" ca="1">REPT(W$2,SUM(--(MID($A13,ROW(INDIRECT("1:"&amp;LEN($A13))),1)=W$2)))</f>
        <v/>
      </c>
      <c r="X13" s="1" t="str" cm="1">
        <f t="array" aca="1" ref="X13" ca="1">REPT(X$2,SUM(--(MID($A13,ROW(INDIRECT("1:"&amp;LEN($A13))),1)=X$2)))</f>
        <v/>
      </c>
      <c r="Y13" s="1" t="str" cm="1">
        <f t="array" aca="1" ref="Y13" ca="1">REPT(Y$2,SUM(--(MID($A13,ROW(INDIRECT("1:"&amp;LEN($A13))),1)=Y$2)))</f>
        <v/>
      </c>
      <c r="Z13" s="1" t="str" cm="1">
        <f t="array" aca="1" ref="Z13" ca="1">REPT(Z$2,SUM(--(MID($A13,ROW(INDIRECT("1:"&amp;LEN($A13))),1)=Z$2)))</f>
        <v/>
      </c>
      <c r="AA13" s="1" t="str" cm="1">
        <f t="array" aca="1" ref="AA13" ca="1">REPT(AA$2,SUM(--(MID($A13,ROW(INDIRECT("1:"&amp;LEN($A13))),1)=AA$2)))</f>
        <v/>
      </c>
    </row>
    <row r="14" spans="1:27" x14ac:dyDescent="0.3">
      <c r="A14" s="21" t="s">
        <v>207</v>
      </c>
      <c r="B14" s="1" t="str" cm="1">
        <f t="array" aca="1" ref="B14" ca="1">REPT(B$2,SUM(--(MID($A14,ROW(INDIRECT("1:"&amp;LEN($A14))),1)=B$2)))</f>
        <v>AA</v>
      </c>
      <c r="C14" s="1" t="str" cm="1">
        <f t="array" aca="1" ref="C14" ca="1">REPT(C$2,SUM(--(MID($A14,ROW(INDIRECT("1:"&amp;LEN($A14))),1)=C$2)))</f>
        <v/>
      </c>
      <c r="D14" s="1" t="str" cm="1">
        <f t="array" aca="1" ref="D14" ca="1">REPT(D$2,SUM(--(MID($A14,ROW(INDIRECT("1:"&amp;LEN($A14))),1)=D$2)))</f>
        <v/>
      </c>
      <c r="E14" s="1" t="str" cm="1">
        <f t="array" aca="1" ref="E14" ca="1">REPT(E$2,SUM(--(MID($A14,ROW(INDIRECT("1:"&amp;LEN($A14))),1)=E$2)))</f>
        <v/>
      </c>
      <c r="F14" s="1" t="str" cm="1">
        <f t="array" aca="1" ref="F14" ca="1">REPT(F$2,SUM(--(MID($A14,ROW(INDIRECT("1:"&amp;LEN($A14))),1)=F$2)))</f>
        <v>E</v>
      </c>
      <c r="G14" s="1" t="str" cm="1">
        <f t="array" aca="1" ref="G14" ca="1">REPT(G$2,SUM(--(MID($A14,ROW(INDIRECT("1:"&amp;LEN($A14))),1)=G$2)))</f>
        <v/>
      </c>
      <c r="H14" s="1" t="str" cm="1">
        <f t="array" aca="1" ref="H14" ca="1">REPT(H$2,SUM(--(MID($A14,ROW(INDIRECT("1:"&amp;LEN($A14))),1)=H$2)))</f>
        <v/>
      </c>
      <c r="I14" s="1" t="str" cm="1">
        <f t="array" aca="1" ref="I14" ca="1">REPT(I$2,SUM(--(MID($A14,ROW(INDIRECT("1:"&amp;LEN($A14))),1)=I$2)))</f>
        <v/>
      </c>
      <c r="J14" s="1" t="str" cm="1">
        <f t="array" aca="1" ref="J14" ca="1">REPT(J$2,SUM(--(MID($A14,ROW(INDIRECT("1:"&amp;LEN($A14))),1)=J$2)))</f>
        <v>I</v>
      </c>
      <c r="K14" s="1" t="str" cm="1">
        <f t="array" aca="1" ref="K14" ca="1">REPT(K$2,SUM(--(MID($A14,ROW(INDIRECT("1:"&amp;LEN($A14))),1)=K$2)))</f>
        <v/>
      </c>
      <c r="L14" s="1" t="str" cm="1">
        <f t="array" aca="1" ref="L14" ca="1">REPT(L$2,SUM(--(MID($A14,ROW(INDIRECT("1:"&amp;LEN($A14))),1)=L$2)))</f>
        <v/>
      </c>
      <c r="M14" s="1" t="str" cm="1">
        <f t="array" aca="1" ref="M14" ca="1">REPT(M$2,SUM(--(MID($A14,ROW(INDIRECT("1:"&amp;LEN($A14))),1)=M$2)))</f>
        <v>L</v>
      </c>
      <c r="N14" s="1" t="str" cm="1">
        <f t="array" aca="1" ref="N14" ca="1">REPT(N$2,SUM(--(MID($A14,ROW(INDIRECT("1:"&amp;LEN($A14))),1)=N$2)))</f>
        <v>M</v>
      </c>
      <c r="O14" s="1" t="str" cm="1">
        <f t="array" aca="1" ref="O14" ca="1">REPT(O$2,SUM(--(MID($A14,ROW(INDIRECT("1:"&amp;LEN($A14))),1)=O$2)))</f>
        <v/>
      </c>
      <c r="P14" s="1" t="str" cm="1">
        <f t="array" aca="1" ref="P14" ca="1">REPT(P$2,SUM(--(MID($A14,ROW(INDIRECT("1:"&amp;LEN($A14))),1)=P$2)))</f>
        <v/>
      </c>
      <c r="Q14" s="1" t="str" cm="1">
        <f t="array" aca="1" ref="Q14" ca="1">REPT(Q$2,SUM(--(MID($A14,ROW(INDIRECT("1:"&amp;LEN($A14))),1)=Q$2)))</f>
        <v>P</v>
      </c>
      <c r="R14" s="1" t="str" cm="1">
        <f t="array" aca="1" ref="R14" ca="1">REPT(R$2,SUM(--(MID($A14,ROW(INDIRECT("1:"&amp;LEN($A14))),1)=R$2)))</f>
        <v/>
      </c>
      <c r="S14" s="1" t="str" cm="1">
        <f t="array" aca="1" ref="S14" ca="1">REPT(S$2,SUM(--(MID($A14,ROW(INDIRECT("1:"&amp;LEN($A14))),1)=S$2)))</f>
        <v/>
      </c>
      <c r="T14" s="1" t="str" cm="1">
        <f t="array" aca="1" ref="T14" ca="1">REPT(T$2,SUM(--(MID($A14,ROW(INDIRECT("1:"&amp;LEN($A14))),1)=T$2)))</f>
        <v/>
      </c>
      <c r="U14" s="1" t="str" cm="1">
        <f t="array" aca="1" ref="U14" ca="1">REPT(U$2,SUM(--(MID($A14,ROW(INDIRECT("1:"&amp;LEN($A14))),1)=U$2)))</f>
        <v>TT</v>
      </c>
      <c r="V14" s="1" t="str" cm="1">
        <f t="array" aca="1" ref="V14" ca="1">REPT(V$2,SUM(--(MID($A14,ROW(INDIRECT("1:"&amp;LEN($A14))),1)=V$2)))</f>
        <v/>
      </c>
      <c r="W14" s="1" t="str" cm="1">
        <f t="array" aca="1" ref="W14" ca="1">REPT(W$2,SUM(--(MID($A14,ROW(INDIRECT("1:"&amp;LEN($A14))),1)=W$2)))</f>
        <v/>
      </c>
      <c r="X14" s="1" t="str" cm="1">
        <f t="array" aca="1" ref="X14" ca="1">REPT(X$2,SUM(--(MID($A14,ROW(INDIRECT("1:"&amp;LEN($A14))),1)=X$2)))</f>
        <v/>
      </c>
      <c r="Y14" s="1" t="str" cm="1">
        <f t="array" aca="1" ref="Y14" ca="1">REPT(Y$2,SUM(--(MID($A14,ROW(INDIRECT("1:"&amp;LEN($A14))),1)=Y$2)))</f>
        <v/>
      </c>
      <c r="Z14" s="1" t="str" cm="1">
        <f t="array" aca="1" ref="Z14" ca="1">REPT(Z$2,SUM(--(MID($A14,ROW(INDIRECT("1:"&amp;LEN($A14))),1)=Z$2)))</f>
        <v/>
      </c>
      <c r="AA14" s="1" t="str" cm="1">
        <f t="array" aca="1" ref="AA14" ca="1">REPT(AA$2,SUM(--(MID($A14,ROW(INDIRECT("1:"&amp;LEN($A14))),1)=AA$2)))</f>
        <v/>
      </c>
    </row>
    <row r="15" spans="1:27" x14ac:dyDescent="0.3">
      <c r="A15" s="21" t="s">
        <v>208</v>
      </c>
      <c r="B15" s="1" t="str" cm="1">
        <f t="array" aca="1" ref="B15" ca="1">REPT(B$2,SUM(--(MID($A15,ROW(INDIRECT("1:"&amp;LEN($A15))),1)=B$2)))</f>
        <v>A</v>
      </c>
      <c r="C15" s="1" t="str" cm="1">
        <f t="array" aca="1" ref="C15" ca="1">REPT(C$2,SUM(--(MID($A15,ROW(INDIRECT("1:"&amp;LEN($A15))),1)=C$2)))</f>
        <v>B</v>
      </c>
      <c r="D15" s="1" t="str" cm="1">
        <f t="array" aca="1" ref="D15" ca="1">REPT(D$2,SUM(--(MID($A15,ROW(INDIRECT("1:"&amp;LEN($A15))),1)=D$2)))</f>
        <v/>
      </c>
      <c r="E15" s="1" t="str" cm="1">
        <f t="array" aca="1" ref="E15" ca="1">REPT(E$2,SUM(--(MID($A15,ROW(INDIRECT("1:"&amp;LEN($A15))),1)=E$2)))</f>
        <v/>
      </c>
      <c r="F15" s="1" t="str" cm="1">
        <f t="array" aca="1" ref="F15" ca="1">REPT(F$2,SUM(--(MID($A15,ROW(INDIRECT("1:"&amp;LEN($A15))),1)=F$2)))</f>
        <v/>
      </c>
      <c r="G15" s="1" t="str" cm="1">
        <f t="array" aca="1" ref="G15" ca="1">REPT(G$2,SUM(--(MID($A15,ROW(INDIRECT("1:"&amp;LEN($A15))),1)=G$2)))</f>
        <v/>
      </c>
      <c r="H15" s="1" t="str" cm="1">
        <f t="array" aca="1" ref="H15" ca="1">REPT(H$2,SUM(--(MID($A15,ROW(INDIRECT("1:"&amp;LEN($A15))),1)=H$2)))</f>
        <v>G</v>
      </c>
      <c r="I15" s="1" t="str" cm="1">
        <f t="array" aca="1" ref="I15" ca="1">REPT(I$2,SUM(--(MID($A15,ROW(INDIRECT("1:"&amp;LEN($A15))),1)=I$2)))</f>
        <v/>
      </c>
      <c r="J15" s="1" t="str" cm="1">
        <f t="array" aca="1" ref="J15" ca="1">REPT(J$2,SUM(--(MID($A15,ROW(INDIRECT("1:"&amp;LEN($A15))),1)=J$2)))</f>
        <v>II</v>
      </c>
      <c r="K15" s="1" t="str" cm="1">
        <f t="array" aca="1" ref="K15" ca="1">REPT(K$2,SUM(--(MID($A15,ROW(INDIRECT("1:"&amp;LEN($A15))),1)=K$2)))</f>
        <v/>
      </c>
      <c r="L15" s="1" t="str" cm="1">
        <f t="array" aca="1" ref="L15" ca="1">REPT(L$2,SUM(--(MID($A15,ROW(INDIRECT("1:"&amp;LEN($A15))),1)=L$2)))</f>
        <v/>
      </c>
      <c r="M15" s="1" t="str" cm="1">
        <f t="array" aca="1" ref="M15" ca="1">REPT(M$2,SUM(--(MID($A15,ROW(INDIRECT("1:"&amp;LEN($A15))),1)=M$2)))</f>
        <v/>
      </c>
      <c r="N15" s="1" t="str" cm="1">
        <f t="array" aca="1" ref="N15" ca="1">REPT(N$2,SUM(--(MID($A15,ROW(INDIRECT("1:"&amp;LEN($A15))),1)=N$2)))</f>
        <v/>
      </c>
      <c r="O15" s="1" t="str" cm="1">
        <f t="array" aca="1" ref="O15" ca="1">REPT(O$2,SUM(--(MID($A15,ROW(INDIRECT("1:"&amp;LEN($A15))),1)=O$2)))</f>
        <v>NNN</v>
      </c>
      <c r="P15" s="1" t="str" cm="1">
        <f t="array" aca="1" ref="P15" ca="1">REPT(P$2,SUM(--(MID($A15,ROW(INDIRECT("1:"&amp;LEN($A15))),1)=P$2)))</f>
        <v>OO</v>
      </c>
      <c r="Q15" s="1" t="str" cm="1">
        <f t="array" aca="1" ref="Q15" ca="1">REPT(Q$2,SUM(--(MID($A15,ROW(INDIRECT("1:"&amp;LEN($A15))),1)=Q$2)))</f>
        <v/>
      </c>
      <c r="R15" s="1" t="str" cm="1">
        <f t="array" aca="1" ref="R15" ca="1">REPT(R$2,SUM(--(MID($A15,ROW(INDIRECT("1:"&amp;LEN($A15))),1)=R$2)))</f>
        <v/>
      </c>
      <c r="S15" s="1" t="str" cm="1">
        <f t="array" aca="1" ref="S15" ca="1">REPT(S$2,SUM(--(MID($A15,ROW(INDIRECT("1:"&amp;LEN($A15))),1)=S$2)))</f>
        <v>R</v>
      </c>
      <c r="T15" s="1" t="str" cm="1">
        <f t="array" aca="1" ref="T15" ca="1">REPT(T$2,SUM(--(MID($A15,ROW(INDIRECT("1:"&amp;LEN($A15))),1)=T$2)))</f>
        <v>SS</v>
      </c>
      <c r="U15" s="1" t="str" cm="1">
        <f t="array" aca="1" ref="U15" ca="1">REPT(U$2,SUM(--(MID($A15,ROW(INDIRECT("1:"&amp;LEN($A15))),1)=U$2)))</f>
        <v>T</v>
      </c>
      <c r="V15" s="1" t="str" cm="1">
        <f t="array" aca="1" ref="V15" ca="1">REPT(V$2,SUM(--(MID($A15,ROW(INDIRECT("1:"&amp;LEN($A15))),1)=V$2)))</f>
        <v>UU</v>
      </c>
      <c r="W15" s="1" t="str" cm="1">
        <f t="array" aca="1" ref="W15" ca="1">REPT(W$2,SUM(--(MID($A15,ROW(INDIRECT("1:"&amp;LEN($A15))),1)=W$2)))</f>
        <v/>
      </c>
      <c r="X15" s="1" t="str" cm="1">
        <f t="array" aca="1" ref="X15" ca="1">REPT(X$2,SUM(--(MID($A15,ROW(INDIRECT("1:"&amp;LEN($A15))),1)=X$2)))</f>
        <v/>
      </c>
      <c r="Y15" s="1" t="str" cm="1">
        <f t="array" aca="1" ref="Y15" ca="1">REPT(Y$2,SUM(--(MID($A15,ROW(INDIRECT("1:"&amp;LEN($A15))),1)=Y$2)))</f>
        <v/>
      </c>
      <c r="Z15" s="1" t="str" cm="1">
        <f t="array" aca="1" ref="Z15" ca="1">REPT(Z$2,SUM(--(MID($A15,ROW(INDIRECT("1:"&amp;LEN($A15))),1)=Z$2)))</f>
        <v/>
      </c>
      <c r="AA15" s="1" t="str" cm="1">
        <f t="array" aca="1" ref="AA15" ca="1">REPT(AA$2,SUM(--(MID($A15,ROW(INDIRECT("1:"&amp;LEN($A15))),1)=AA$2)))</f>
        <v/>
      </c>
    </row>
    <row r="16" spans="1:27" x14ac:dyDescent="0.3">
      <c r="A16" s="21" t="s">
        <v>209</v>
      </c>
      <c r="B16" s="1" t="str" cm="1">
        <f t="array" aca="1" ref="B16" ca="1">REPT(B$2,SUM(--(MID($A16,ROW(INDIRECT("1:"&amp;LEN($A16))),1)=B$2)))</f>
        <v/>
      </c>
      <c r="C16" s="1" t="str" cm="1">
        <f t="array" aca="1" ref="C16" ca="1">REPT(C$2,SUM(--(MID($A16,ROW(INDIRECT("1:"&amp;LEN($A16))),1)=C$2)))</f>
        <v/>
      </c>
      <c r="D16" s="1" t="str" cm="1">
        <f t="array" aca="1" ref="D16" ca="1">REPT(D$2,SUM(--(MID($A16,ROW(INDIRECT("1:"&amp;LEN($A16))),1)=D$2)))</f>
        <v/>
      </c>
      <c r="E16" s="1" t="str" cm="1">
        <f t="array" aca="1" ref="E16" ca="1">REPT(E$2,SUM(--(MID($A16,ROW(INDIRECT("1:"&amp;LEN($A16))),1)=E$2)))</f>
        <v/>
      </c>
      <c r="F16" s="1" t="str" cm="1">
        <f t="array" aca="1" ref="F16" ca="1">REPT(F$2,SUM(--(MID($A16,ROW(INDIRECT("1:"&amp;LEN($A16))),1)=F$2)))</f>
        <v>E</v>
      </c>
      <c r="G16" s="1" t="str" cm="1">
        <f t="array" aca="1" ref="G16" ca="1">REPT(G$2,SUM(--(MID($A16,ROW(INDIRECT("1:"&amp;LEN($A16))),1)=G$2)))</f>
        <v/>
      </c>
      <c r="H16" s="1" t="str" cm="1">
        <f t="array" aca="1" ref="H16" ca="1">REPT(H$2,SUM(--(MID($A16,ROW(INDIRECT("1:"&amp;LEN($A16))),1)=H$2)))</f>
        <v/>
      </c>
      <c r="I16" s="1" t="str" cm="1">
        <f t="array" aca="1" ref="I16" ca="1">REPT(I$2,SUM(--(MID($A16,ROW(INDIRECT("1:"&amp;LEN($A16))),1)=I$2)))</f>
        <v/>
      </c>
      <c r="J16" s="1" t="str" cm="1">
        <f t="array" aca="1" ref="J16" ca="1">REPT(J$2,SUM(--(MID($A16,ROW(INDIRECT("1:"&amp;LEN($A16))),1)=J$2)))</f>
        <v>I</v>
      </c>
      <c r="K16" s="1" t="str" cm="1">
        <f t="array" aca="1" ref="K16" ca="1">REPT(K$2,SUM(--(MID($A16,ROW(INDIRECT("1:"&amp;LEN($A16))),1)=K$2)))</f>
        <v/>
      </c>
      <c r="L16" s="1" t="str" cm="1">
        <f t="array" aca="1" ref="L16" ca="1">REPT(L$2,SUM(--(MID($A16,ROW(INDIRECT("1:"&amp;LEN($A16))),1)=L$2)))</f>
        <v/>
      </c>
      <c r="M16" s="1" t="str" cm="1">
        <f t="array" aca="1" ref="M16" ca="1">REPT(M$2,SUM(--(MID($A16,ROW(INDIRECT("1:"&amp;LEN($A16))),1)=M$2)))</f>
        <v>L</v>
      </c>
      <c r="N16" s="1" t="str" cm="1">
        <f t="array" aca="1" ref="N16" ca="1">REPT(N$2,SUM(--(MID($A16,ROW(INDIRECT("1:"&amp;LEN($A16))),1)=N$2)))</f>
        <v>M</v>
      </c>
      <c r="O16" s="1" t="str" cm="1">
        <f t="array" aca="1" ref="O16" ca="1">REPT(O$2,SUM(--(MID($A16,ROW(INDIRECT("1:"&amp;LEN($A16))),1)=O$2)))</f>
        <v>NN</v>
      </c>
      <c r="P16" s="1" t="str" cm="1">
        <f t="array" aca="1" ref="P16" ca="1">REPT(P$2,SUM(--(MID($A16,ROW(INDIRECT("1:"&amp;LEN($A16))),1)=P$2)))</f>
        <v/>
      </c>
      <c r="Q16" s="1" t="str" cm="1">
        <f t="array" aca="1" ref="Q16" ca="1">REPT(Q$2,SUM(--(MID($A16,ROW(INDIRECT("1:"&amp;LEN($A16))),1)=Q$2)))</f>
        <v/>
      </c>
      <c r="R16" s="1" t="str" cm="1">
        <f t="array" aca="1" ref="R16" ca="1">REPT(R$2,SUM(--(MID($A16,ROW(INDIRECT("1:"&amp;LEN($A16))),1)=R$2)))</f>
        <v/>
      </c>
      <c r="S16" s="1" t="str" cm="1">
        <f t="array" aca="1" ref="S16" ca="1">REPT(S$2,SUM(--(MID($A16,ROW(INDIRECT("1:"&amp;LEN($A16))),1)=S$2)))</f>
        <v/>
      </c>
      <c r="T16" s="1" t="str" cm="1">
        <f t="array" aca="1" ref="T16" ca="1">REPT(T$2,SUM(--(MID($A16,ROW(INDIRECT("1:"&amp;LEN($A16))),1)=T$2)))</f>
        <v/>
      </c>
      <c r="U16" s="1" t="str" cm="1">
        <f t="array" aca="1" ref="U16" ca="1">REPT(U$2,SUM(--(MID($A16,ROW(INDIRECT("1:"&amp;LEN($A16))),1)=U$2)))</f>
        <v/>
      </c>
      <c r="V16" s="1" t="str" cm="1">
        <f t="array" aca="1" ref="V16" ca="1">REPT(V$2,SUM(--(MID($A16,ROW(INDIRECT("1:"&amp;LEN($A16))),1)=V$2)))</f>
        <v/>
      </c>
      <c r="W16" s="1" t="str" cm="1">
        <f t="array" aca="1" ref="W16" ca="1">REPT(W$2,SUM(--(MID($A16,ROW(INDIRECT("1:"&amp;LEN($A16))),1)=W$2)))</f>
        <v/>
      </c>
      <c r="X16" s="1" t="str" cm="1">
        <f t="array" aca="1" ref="X16" ca="1">REPT(X$2,SUM(--(MID($A16,ROW(INDIRECT("1:"&amp;LEN($A16))),1)=X$2)))</f>
        <v/>
      </c>
      <c r="Y16" s="1" t="str" cm="1">
        <f t="array" aca="1" ref="Y16" ca="1">REPT(Y$2,SUM(--(MID($A16,ROW(INDIRECT("1:"&amp;LEN($A16))),1)=Y$2)))</f>
        <v/>
      </c>
      <c r="Z16" s="1" t="str" cm="1">
        <f t="array" aca="1" ref="Z16" ca="1">REPT(Z$2,SUM(--(MID($A16,ROW(INDIRECT("1:"&amp;LEN($A16))),1)=Z$2)))</f>
        <v/>
      </c>
      <c r="AA16" s="1" t="str" cm="1">
        <f t="array" aca="1" ref="AA16" ca="1">REPT(AA$2,SUM(--(MID($A16,ROW(INDIRECT("1:"&amp;LEN($A16))),1)=AA$2)))</f>
        <v/>
      </c>
    </row>
    <row r="17" spans="1:27" x14ac:dyDescent="0.3">
      <c r="A17" s="21" t="s">
        <v>212</v>
      </c>
      <c r="B17" s="1" t="str" cm="1">
        <f t="array" aca="1" ref="B17" ca="1">REPT(B$2,SUM(--(MID($A17,ROW(INDIRECT("1:"&amp;LEN($A17))),1)=B$2)))</f>
        <v>A</v>
      </c>
      <c r="C17" s="1" t="str" cm="1">
        <f t="array" aca="1" ref="C17" ca="1">REPT(C$2,SUM(--(MID($A17,ROW(INDIRECT("1:"&amp;LEN($A17))),1)=C$2)))</f>
        <v/>
      </c>
      <c r="D17" s="1" t="str" cm="1">
        <f t="array" aca="1" ref="D17" ca="1">REPT(D$2,SUM(--(MID($A17,ROW(INDIRECT("1:"&amp;LEN($A17))),1)=D$2)))</f>
        <v/>
      </c>
      <c r="E17" s="1" t="str" cm="1">
        <f t="array" aca="1" ref="E17" ca="1">REPT(E$2,SUM(--(MID($A17,ROW(INDIRECT("1:"&amp;LEN($A17))),1)=E$2)))</f>
        <v/>
      </c>
      <c r="F17" s="1" t="str" cm="1">
        <f t="array" aca="1" ref="F17" ca="1">REPT(F$2,SUM(--(MID($A17,ROW(INDIRECT("1:"&amp;LEN($A17))),1)=F$2)))</f>
        <v/>
      </c>
      <c r="G17" s="1" t="str" cm="1">
        <f t="array" aca="1" ref="G17" ca="1">REPT(G$2,SUM(--(MID($A17,ROW(INDIRECT("1:"&amp;LEN($A17))),1)=G$2)))</f>
        <v/>
      </c>
      <c r="H17" s="1" t="str" cm="1">
        <f t="array" aca="1" ref="H17" ca="1">REPT(H$2,SUM(--(MID($A17,ROW(INDIRECT("1:"&amp;LEN($A17))),1)=H$2)))</f>
        <v/>
      </c>
      <c r="I17" s="1" t="str" cm="1">
        <f t="array" aca="1" ref="I17" ca="1">REPT(I$2,SUM(--(MID($A17,ROW(INDIRECT("1:"&amp;LEN($A17))),1)=I$2)))</f>
        <v/>
      </c>
      <c r="J17" s="1" t="str" cm="1">
        <f t="array" aca="1" ref="J17" ca="1">REPT(J$2,SUM(--(MID($A17,ROW(INDIRECT("1:"&amp;LEN($A17))),1)=J$2)))</f>
        <v>I</v>
      </c>
      <c r="K17" s="1" t="str" cm="1">
        <f t="array" aca="1" ref="K17" ca="1">REPT(K$2,SUM(--(MID($A17,ROW(INDIRECT("1:"&amp;LEN($A17))),1)=K$2)))</f>
        <v/>
      </c>
      <c r="L17" s="1" t="str" cm="1">
        <f t="array" aca="1" ref="L17" ca="1">REPT(L$2,SUM(--(MID($A17,ROW(INDIRECT("1:"&amp;LEN($A17))),1)=L$2)))</f>
        <v/>
      </c>
      <c r="M17" s="1" t="str" cm="1">
        <f t="array" aca="1" ref="M17" ca="1">REPT(M$2,SUM(--(MID($A17,ROW(INDIRECT("1:"&amp;LEN($A17))),1)=M$2)))</f>
        <v/>
      </c>
      <c r="N17" s="1" t="str" cm="1">
        <f t="array" aca="1" ref="N17" ca="1">REPT(N$2,SUM(--(MID($A17,ROW(INDIRECT("1:"&amp;LEN($A17))),1)=N$2)))</f>
        <v/>
      </c>
      <c r="O17" s="1" t="str" cm="1">
        <f t="array" aca="1" ref="O17" ca="1">REPT(O$2,SUM(--(MID($A17,ROW(INDIRECT("1:"&amp;LEN($A17))),1)=O$2)))</f>
        <v>NN</v>
      </c>
      <c r="P17" s="1" t="str" cm="1">
        <f t="array" aca="1" ref="P17" ca="1">REPT(P$2,SUM(--(MID($A17,ROW(INDIRECT("1:"&amp;LEN($A17))),1)=P$2)))</f>
        <v/>
      </c>
      <c r="Q17" s="1" t="str" cm="1">
        <f t="array" aca="1" ref="Q17" ca="1">REPT(Q$2,SUM(--(MID($A17,ROW(INDIRECT("1:"&amp;LEN($A17))),1)=Q$2)))</f>
        <v/>
      </c>
      <c r="R17" s="1" t="str" cm="1">
        <f t="array" aca="1" ref="R17" ca="1">REPT(R$2,SUM(--(MID($A17,ROW(INDIRECT("1:"&amp;LEN($A17))),1)=R$2)))</f>
        <v/>
      </c>
      <c r="S17" s="1" t="str" cm="1">
        <f t="array" aca="1" ref="S17" ca="1">REPT(S$2,SUM(--(MID($A17,ROW(INDIRECT("1:"&amp;LEN($A17))),1)=S$2)))</f>
        <v/>
      </c>
      <c r="T17" s="1" t="str" cm="1">
        <f t="array" aca="1" ref="T17" ca="1">REPT(T$2,SUM(--(MID($A17,ROW(INDIRECT("1:"&amp;LEN($A17))),1)=T$2)))</f>
        <v/>
      </c>
      <c r="U17" s="1" t="str" cm="1">
        <f t="array" aca="1" ref="U17" ca="1">REPT(U$2,SUM(--(MID($A17,ROW(INDIRECT("1:"&amp;LEN($A17))),1)=U$2)))</f>
        <v/>
      </c>
      <c r="V17" s="1" t="str" cm="1">
        <f t="array" aca="1" ref="V17" ca="1">REPT(V$2,SUM(--(MID($A17,ROW(INDIRECT("1:"&amp;LEN($A17))),1)=V$2)))</f>
        <v/>
      </c>
      <c r="W17" s="1" t="str" cm="1">
        <f t="array" aca="1" ref="W17" ca="1">REPT(W$2,SUM(--(MID($A17,ROW(INDIRECT("1:"&amp;LEN($A17))),1)=W$2)))</f>
        <v>V</v>
      </c>
      <c r="X17" s="1" t="str" cm="1">
        <f t="array" aca="1" ref="X17" ca="1">REPT(X$2,SUM(--(MID($A17,ROW(INDIRECT("1:"&amp;LEN($A17))),1)=X$2)))</f>
        <v/>
      </c>
      <c r="Y17" s="1" t="str" cm="1">
        <f t="array" aca="1" ref="Y17" ca="1">REPT(Y$2,SUM(--(MID($A17,ROW(INDIRECT("1:"&amp;LEN($A17))),1)=Y$2)))</f>
        <v/>
      </c>
      <c r="Z17" s="1" t="str" cm="1">
        <f t="array" aca="1" ref="Z17" ca="1">REPT(Z$2,SUM(--(MID($A17,ROW(INDIRECT("1:"&amp;LEN($A17))),1)=Z$2)))</f>
        <v/>
      </c>
      <c r="AA17" s="1" t="str" cm="1">
        <f t="array" aca="1" ref="AA17" ca="1">REPT(AA$2,SUM(--(MID($A17,ROW(INDIRECT("1:"&amp;LEN($A17))),1)=AA$2)))</f>
        <v/>
      </c>
    </row>
    <row r="18" spans="1:27" x14ac:dyDescent="0.3">
      <c r="A18" s="21" t="s">
        <v>213</v>
      </c>
      <c r="B18" s="1" t="str" cm="1">
        <f t="array" aca="1" ref="B18" ca="1">REPT(B$2,SUM(--(MID($A18,ROW(INDIRECT("1:"&amp;LEN($A18))),1)=B$2)))</f>
        <v>A</v>
      </c>
      <c r="C18" s="1" t="str" cm="1">
        <f t="array" aca="1" ref="C18" ca="1">REPT(C$2,SUM(--(MID($A18,ROW(INDIRECT("1:"&amp;LEN($A18))),1)=C$2)))</f>
        <v/>
      </c>
      <c r="D18" s="1" t="str" cm="1">
        <f t="array" aca="1" ref="D18" ca="1">REPT(D$2,SUM(--(MID($A18,ROW(INDIRECT("1:"&amp;LEN($A18))),1)=D$2)))</f>
        <v/>
      </c>
      <c r="E18" s="1" t="str" cm="1">
        <f t="array" aca="1" ref="E18" ca="1">REPT(E$2,SUM(--(MID($A18,ROW(INDIRECT("1:"&amp;LEN($A18))),1)=E$2)))</f>
        <v/>
      </c>
      <c r="F18" s="1" t="str" cm="1">
        <f t="array" aca="1" ref="F18" ca="1">REPT(F$2,SUM(--(MID($A18,ROW(INDIRECT("1:"&amp;LEN($A18))),1)=F$2)))</f>
        <v>E</v>
      </c>
      <c r="G18" s="1" t="str" cm="1">
        <f t="array" aca="1" ref="G18" ca="1">REPT(G$2,SUM(--(MID($A18,ROW(INDIRECT("1:"&amp;LEN($A18))),1)=G$2)))</f>
        <v/>
      </c>
      <c r="H18" s="1" t="str" cm="1">
        <f t="array" aca="1" ref="H18" ca="1">REPT(H$2,SUM(--(MID($A18,ROW(INDIRECT("1:"&amp;LEN($A18))),1)=H$2)))</f>
        <v/>
      </c>
      <c r="I18" s="1" t="str" cm="1">
        <f t="array" aca="1" ref="I18" ca="1">REPT(I$2,SUM(--(MID($A18,ROW(INDIRECT("1:"&amp;LEN($A18))),1)=I$2)))</f>
        <v>H</v>
      </c>
      <c r="J18" s="1" t="str" cm="1">
        <f t="array" aca="1" ref="J18" ca="1">REPT(J$2,SUM(--(MID($A18,ROW(INDIRECT("1:"&amp;LEN($A18))),1)=J$2)))</f>
        <v/>
      </c>
      <c r="K18" s="1" t="str" cm="1">
        <f t="array" aca="1" ref="K18" ca="1">REPT(K$2,SUM(--(MID($A18,ROW(INDIRECT("1:"&amp;LEN($A18))),1)=K$2)))</f>
        <v/>
      </c>
      <c r="L18" s="1" t="str" cm="1">
        <f t="array" aca="1" ref="L18" ca="1">REPT(L$2,SUM(--(MID($A18,ROW(INDIRECT("1:"&amp;LEN($A18))),1)=L$2)))</f>
        <v/>
      </c>
      <c r="M18" s="1" t="str" cm="1">
        <f t="array" aca="1" ref="M18" ca="1">REPT(M$2,SUM(--(MID($A18,ROW(INDIRECT("1:"&amp;LEN($A18))),1)=M$2)))</f>
        <v>L</v>
      </c>
      <c r="N18" s="1" t="str" cm="1">
        <f t="array" aca="1" ref="N18" ca="1">REPT(N$2,SUM(--(MID($A18,ROW(INDIRECT("1:"&amp;LEN($A18))),1)=N$2)))</f>
        <v>M</v>
      </c>
      <c r="O18" s="1" t="str" cm="1">
        <f t="array" aca="1" ref="O18" ca="1">REPT(O$2,SUM(--(MID($A18,ROW(INDIRECT("1:"&amp;LEN($A18))),1)=O$2)))</f>
        <v/>
      </c>
      <c r="P18" s="1" t="str" cm="1">
        <f t="array" aca="1" ref="P18" ca="1">REPT(P$2,SUM(--(MID($A18,ROW(INDIRECT("1:"&amp;LEN($A18))),1)=P$2)))</f>
        <v/>
      </c>
      <c r="Q18" s="1" t="str" cm="1">
        <f t="array" aca="1" ref="Q18" ca="1">REPT(Q$2,SUM(--(MID($A18,ROW(INDIRECT("1:"&amp;LEN($A18))),1)=Q$2)))</f>
        <v/>
      </c>
      <c r="R18" s="1" t="str" cm="1">
        <f t="array" aca="1" ref="R18" ca="1">REPT(R$2,SUM(--(MID($A18,ROW(INDIRECT("1:"&amp;LEN($A18))),1)=R$2)))</f>
        <v/>
      </c>
      <c r="S18" s="1" t="str" cm="1">
        <f t="array" aca="1" ref="S18" ca="1">REPT(S$2,SUM(--(MID($A18,ROW(INDIRECT("1:"&amp;LEN($A18))),1)=S$2)))</f>
        <v>R</v>
      </c>
      <c r="T18" s="1" t="str" cm="1">
        <f t="array" aca="1" ref="T18" ca="1">REPT(T$2,SUM(--(MID($A18,ROW(INDIRECT("1:"&amp;LEN($A18))),1)=T$2)))</f>
        <v>S</v>
      </c>
      <c r="U18" s="1" t="str" cm="1">
        <f t="array" aca="1" ref="U18" ca="1">REPT(U$2,SUM(--(MID($A18,ROW(INDIRECT("1:"&amp;LEN($A18))),1)=U$2)))</f>
        <v/>
      </c>
      <c r="V18" s="1" t="str" cm="1">
        <f t="array" aca="1" ref="V18" ca="1">REPT(V$2,SUM(--(MID($A18,ROW(INDIRECT("1:"&amp;LEN($A18))),1)=V$2)))</f>
        <v>U</v>
      </c>
      <c r="W18" s="1" t="str" cm="1">
        <f t="array" aca="1" ref="W18" ca="1">REPT(W$2,SUM(--(MID($A18,ROW(INDIRECT("1:"&amp;LEN($A18))),1)=W$2)))</f>
        <v/>
      </c>
      <c r="X18" s="1" t="str" cm="1">
        <f t="array" aca="1" ref="X18" ca="1">REPT(X$2,SUM(--(MID($A18,ROW(INDIRECT("1:"&amp;LEN($A18))),1)=X$2)))</f>
        <v/>
      </c>
      <c r="Y18" s="1" t="str" cm="1">
        <f t="array" aca="1" ref="Y18" ca="1">REPT(Y$2,SUM(--(MID($A18,ROW(INDIRECT("1:"&amp;LEN($A18))),1)=Y$2)))</f>
        <v/>
      </c>
      <c r="Z18" s="1" t="str" cm="1">
        <f t="array" aca="1" ref="Z18" ca="1">REPT(Z$2,SUM(--(MID($A18,ROW(INDIRECT("1:"&amp;LEN($A18))),1)=Z$2)))</f>
        <v>Y</v>
      </c>
      <c r="AA18" s="1" t="str" cm="1">
        <f t="array" aca="1" ref="AA18" ca="1">REPT(AA$2,SUM(--(MID($A18,ROW(INDIRECT("1:"&amp;LEN($A18))),1)=AA$2)))</f>
        <v/>
      </c>
    </row>
    <row r="20" spans="1:27" x14ac:dyDescent="0.3">
      <c r="A20" s="24" t="s">
        <v>259</v>
      </c>
    </row>
    <row r="21" spans="1:27" x14ac:dyDescent="0.3">
      <c r="A21" s="22" t="s">
        <v>214</v>
      </c>
      <c r="B21" s="23" t="s">
        <v>215</v>
      </c>
      <c r="C21" s="23" t="s">
        <v>216</v>
      </c>
      <c r="D21" s="23" t="s">
        <v>217</v>
      </c>
      <c r="E21" s="23" t="s">
        <v>218</v>
      </c>
      <c r="F21" s="23" t="s">
        <v>219</v>
      </c>
      <c r="G21" s="23" t="s">
        <v>220</v>
      </c>
      <c r="H21" s="23" t="s">
        <v>221</v>
      </c>
      <c r="I21" s="23" t="s">
        <v>222</v>
      </c>
      <c r="J21" s="23" t="s">
        <v>223</v>
      </c>
      <c r="K21" s="23" t="s">
        <v>224</v>
      </c>
      <c r="L21" s="23" t="s">
        <v>225</v>
      </c>
      <c r="M21" s="23" t="s">
        <v>226</v>
      </c>
      <c r="N21" s="23" t="s">
        <v>227</v>
      </c>
      <c r="O21" s="23" t="s">
        <v>228</v>
      </c>
      <c r="P21" s="23" t="s">
        <v>229</v>
      </c>
      <c r="Q21" s="23" t="s">
        <v>230</v>
      </c>
      <c r="R21" s="23" t="s">
        <v>231</v>
      </c>
      <c r="S21" s="23" t="s">
        <v>232</v>
      </c>
      <c r="T21" s="23" t="s">
        <v>233</v>
      </c>
      <c r="U21" s="23" t="s">
        <v>234</v>
      </c>
      <c r="V21" s="23" t="s">
        <v>235</v>
      </c>
      <c r="W21" s="23" t="s">
        <v>236</v>
      </c>
      <c r="X21" s="23" t="s">
        <v>237</v>
      </c>
      <c r="Y21" s="23" t="s">
        <v>238</v>
      </c>
      <c r="Z21" s="23" t="s">
        <v>239</v>
      </c>
      <c r="AA21" s="23" t="s">
        <v>240</v>
      </c>
    </row>
    <row r="22" spans="1:27" x14ac:dyDescent="0.3">
      <c r="A22" s="21" t="s">
        <v>198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3">
      <c r="A23" s="21" t="s">
        <v>199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3">
      <c r="A24" s="21" t="s">
        <v>211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3">
      <c r="A25" s="21" t="s">
        <v>210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3">
      <c r="A26" s="21" t="s">
        <v>200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3">
      <c r="A27" s="21" t="s">
        <v>201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3">
      <c r="A28" s="21" t="s">
        <v>202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3">
      <c r="A29" s="21" t="s">
        <v>203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3">
      <c r="A30" s="21" t="s">
        <v>204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3">
      <c r="A31" s="21" t="s">
        <v>205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3">
      <c r="A32" s="21" t="s">
        <v>206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3">
      <c r="A33" s="21" t="s">
        <v>207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3">
      <c r="A34" s="21" t="s">
        <v>208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3">
      <c r="A35" s="21" t="s">
        <v>209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3">
      <c r="A36" s="21" t="s">
        <v>212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3">
      <c r="A37" s="21" t="s">
        <v>213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08944-51BA-4654-BE70-F85515264B0D}">
  <dimension ref="A1:Z586"/>
  <sheetViews>
    <sheetView zoomScale="81" workbookViewId="0">
      <selection activeCell="E32" sqref="E32"/>
    </sheetView>
  </sheetViews>
  <sheetFormatPr defaultRowHeight="14.4" x14ac:dyDescent="0.3"/>
  <cols>
    <col min="1" max="1" width="17.88671875" bestFit="1" customWidth="1"/>
    <col min="2" max="2" width="16" bestFit="1" customWidth="1"/>
    <col min="3" max="3" width="16.5546875" bestFit="1" customWidth="1"/>
    <col min="4" max="4" width="23.44140625" bestFit="1" customWidth="1"/>
    <col min="5" max="5" width="17.44140625" bestFit="1" customWidth="1"/>
    <col min="6" max="6" width="11.21875" bestFit="1" customWidth="1"/>
    <col min="7" max="7" width="11.77734375" bestFit="1" customWidth="1"/>
    <col min="9" max="9" width="37.33203125" bestFit="1" customWidth="1"/>
    <col min="11" max="11" width="191.21875" bestFit="1" customWidth="1"/>
  </cols>
  <sheetData>
    <row r="1" spans="1:26" x14ac:dyDescent="0.3">
      <c r="A1" s="125" t="s">
        <v>600</v>
      </c>
      <c r="B1" s="125" t="s">
        <v>601</v>
      </c>
      <c r="C1" s="125" t="s">
        <v>602</v>
      </c>
      <c r="D1" s="125" t="s">
        <v>603</v>
      </c>
      <c r="E1" s="125" t="s">
        <v>604</v>
      </c>
      <c r="F1" s="125" t="s">
        <v>605</v>
      </c>
      <c r="G1" s="125" t="s">
        <v>606</v>
      </c>
      <c r="H1" s="125" t="s">
        <v>607</v>
      </c>
      <c r="I1" s="125" t="s">
        <v>608</v>
      </c>
      <c r="J1" s="125" t="s">
        <v>609</v>
      </c>
      <c r="K1" s="125" t="s">
        <v>610</v>
      </c>
      <c r="L1" s="125" t="s">
        <v>611</v>
      </c>
      <c r="M1" s="125" t="s">
        <v>612</v>
      </c>
      <c r="N1" s="125" t="s">
        <v>613</v>
      </c>
      <c r="O1" s="125" t="s">
        <v>614</v>
      </c>
      <c r="P1" s="125" t="s">
        <v>615</v>
      </c>
      <c r="Q1" s="125" t="s">
        <v>616</v>
      </c>
      <c r="R1" s="125" t="s">
        <v>617</v>
      </c>
      <c r="S1" s="125" t="s">
        <v>618</v>
      </c>
      <c r="T1" s="125" t="s">
        <v>619</v>
      </c>
      <c r="U1" s="125" t="s">
        <v>620</v>
      </c>
      <c r="V1" s="125" t="s">
        <v>621</v>
      </c>
      <c r="W1" s="125" t="s">
        <v>622</v>
      </c>
      <c r="X1" s="125" t="s">
        <v>623</v>
      </c>
      <c r="Y1" s="125" t="s">
        <v>624</v>
      </c>
      <c r="Z1" s="125" t="s">
        <v>625</v>
      </c>
    </row>
    <row r="2" spans="1:26" x14ac:dyDescent="0.3">
      <c r="A2" s="126" t="s">
        <v>626</v>
      </c>
      <c r="B2" s="126" t="s">
        <v>627</v>
      </c>
      <c r="C2" s="54" t="s">
        <v>628</v>
      </c>
      <c r="D2" s="127" t="s">
        <v>629</v>
      </c>
      <c r="E2" s="126">
        <v>85900</v>
      </c>
      <c r="F2" s="126">
        <v>36</v>
      </c>
      <c r="G2" s="126">
        <v>3353</v>
      </c>
      <c r="H2" s="126" t="s">
        <v>630</v>
      </c>
      <c r="I2" s="126" t="s">
        <v>631</v>
      </c>
      <c r="J2" s="126" t="s">
        <v>632</v>
      </c>
      <c r="K2" s="126" t="s">
        <v>633</v>
      </c>
      <c r="L2" s="126" t="s">
        <v>634</v>
      </c>
      <c r="M2" s="128" t="s">
        <v>635</v>
      </c>
      <c r="N2" s="126" t="s">
        <v>636</v>
      </c>
      <c r="O2" s="128" t="s">
        <v>637</v>
      </c>
      <c r="P2" s="126" t="s">
        <v>638</v>
      </c>
      <c r="Q2" s="126" t="s">
        <v>639</v>
      </c>
      <c r="R2" s="126" t="s">
        <v>640</v>
      </c>
      <c r="S2" s="126">
        <v>3000</v>
      </c>
      <c r="T2" s="126">
        <v>75962</v>
      </c>
      <c r="U2" s="126">
        <v>78962</v>
      </c>
      <c r="V2" s="126" t="s">
        <v>641</v>
      </c>
      <c r="W2" s="129" t="s">
        <v>642</v>
      </c>
      <c r="X2" t="s">
        <v>643</v>
      </c>
      <c r="Y2" t="s">
        <v>644</v>
      </c>
      <c r="Z2" s="130" t="s">
        <v>645</v>
      </c>
    </row>
    <row r="3" spans="1:26" x14ac:dyDescent="0.3">
      <c r="A3" s="126" t="s">
        <v>646</v>
      </c>
      <c r="B3" s="126" t="s">
        <v>627</v>
      </c>
      <c r="C3" s="54" t="s">
        <v>628</v>
      </c>
      <c r="D3" s="127" t="s">
        <v>647</v>
      </c>
      <c r="E3" s="126">
        <v>67900</v>
      </c>
      <c r="F3" s="126">
        <v>41</v>
      </c>
      <c r="G3" s="126">
        <v>2560</v>
      </c>
      <c r="H3" s="126" t="s">
        <v>630</v>
      </c>
      <c r="I3" s="126" t="s">
        <v>648</v>
      </c>
      <c r="J3" s="126" t="s">
        <v>649</v>
      </c>
      <c r="K3" s="126" t="s">
        <v>650</v>
      </c>
      <c r="L3" s="126" t="s">
        <v>651</v>
      </c>
      <c r="M3" s="128" t="s">
        <v>652</v>
      </c>
      <c r="N3" s="126" t="s">
        <v>636</v>
      </c>
      <c r="O3" s="128" t="s">
        <v>653</v>
      </c>
      <c r="P3" s="126" t="s">
        <v>654</v>
      </c>
      <c r="Q3" s="126" t="s">
        <v>655</v>
      </c>
      <c r="R3" s="126" t="s">
        <v>656</v>
      </c>
      <c r="S3" s="126">
        <v>3000</v>
      </c>
      <c r="T3" s="126">
        <v>109159</v>
      </c>
      <c r="U3" s="126">
        <v>112159</v>
      </c>
      <c r="V3" s="126" t="s">
        <v>657</v>
      </c>
      <c r="W3" s="129" t="s">
        <v>658</v>
      </c>
      <c r="X3" t="s">
        <v>659</v>
      </c>
      <c r="Y3" t="s">
        <v>644</v>
      </c>
      <c r="Z3" t="s">
        <v>645</v>
      </c>
    </row>
    <row r="4" spans="1:26" x14ac:dyDescent="0.3">
      <c r="A4" s="126" t="s">
        <v>660</v>
      </c>
      <c r="B4" s="126" t="s">
        <v>627</v>
      </c>
      <c r="C4" s="54" t="s">
        <v>661</v>
      </c>
      <c r="D4" s="127" t="s">
        <v>662</v>
      </c>
      <c r="E4" s="126">
        <v>75900</v>
      </c>
      <c r="F4" s="126">
        <v>36</v>
      </c>
      <c r="G4" s="126">
        <v>3271</v>
      </c>
      <c r="H4" s="126" t="s">
        <v>630</v>
      </c>
      <c r="I4" s="126" t="s">
        <v>663</v>
      </c>
      <c r="J4" s="126" t="s">
        <v>664</v>
      </c>
      <c r="K4" s="126" t="s">
        <v>665</v>
      </c>
      <c r="L4" s="126" t="s">
        <v>666</v>
      </c>
      <c r="M4" s="128" t="s">
        <v>667</v>
      </c>
      <c r="N4" s="126" t="s">
        <v>636</v>
      </c>
      <c r="O4" s="128" t="s">
        <v>668</v>
      </c>
      <c r="P4" s="126" t="s">
        <v>669</v>
      </c>
      <c r="Q4" s="126" t="s">
        <v>670</v>
      </c>
      <c r="R4" s="126" t="s">
        <v>671</v>
      </c>
      <c r="S4" s="126">
        <v>3000</v>
      </c>
      <c r="T4" s="126">
        <v>147310</v>
      </c>
      <c r="U4" s="126">
        <v>150310</v>
      </c>
      <c r="V4" s="126" t="s">
        <v>672</v>
      </c>
      <c r="W4" s="129" t="s">
        <v>673</v>
      </c>
      <c r="X4" t="s">
        <v>674</v>
      </c>
      <c r="Y4" t="s">
        <v>644</v>
      </c>
      <c r="Z4" t="s">
        <v>645</v>
      </c>
    </row>
    <row r="5" spans="1:26" x14ac:dyDescent="0.3">
      <c r="A5" s="1" t="s">
        <v>675</v>
      </c>
      <c r="B5" s="126" t="s">
        <v>627</v>
      </c>
      <c r="C5" s="54" t="s">
        <v>676</v>
      </c>
      <c r="D5" s="127" t="s">
        <v>677</v>
      </c>
      <c r="E5" s="1">
        <v>36900</v>
      </c>
      <c r="F5" s="1">
        <v>51</v>
      </c>
      <c r="G5" s="1">
        <v>1670</v>
      </c>
      <c r="H5" s="1" t="s">
        <v>630</v>
      </c>
      <c r="I5" s="1" t="s">
        <v>678</v>
      </c>
      <c r="J5" s="1" t="s">
        <v>679</v>
      </c>
      <c r="K5" s="126" t="s">
        <v>680</v>
      </c>
      <c r="L5" s="1" t="s">
        <v>681</v>
      </c>
      <c r="M5" s="131">
        <v>743145</v>
      </c>
      <c r="N5" s="126" t="s">
        <v>636</v>
      </c>
      <c r="O5" s="131">
        <v>9831332737</v>
      </c>
      <c r="P5" s="1" t="s">
        <v>682</v>
      </c>
      <c r="Q5" s="1" t="s">
        <v>683</v>
      </c>
      <c r="R5" s="1" t="s">
        <v>684</v>
      </c>
      <c r="S5" s="1">
        <v>3000</v>
      </c>
      <c r="T5" s="1">
        <v>51387</v>
      </c>
      <c r="U5" s="1">
        <v>54387</v>
      </c>
      <c r="V5" s="1" t="s">
        <v>685</v>
      </c>
      <c r="W5" s="129" t="s">
        <v>686</v>
      </c>
      <c r="X5" t="s">
        <v>687</v>
      </c>
      <c r="Y5" t="s">
        <v>644</v>
      </c>
      <c r="Z5" t="s">
        <v>645</v>
      </c>
    </row>
    <row r="6" spans="1:26" x14ac:dyDescent="0.3">
      <c r="A6" s="1" t="s">
        <v>688</v>
      </c>
      <c r="B6" s="126" t="s">
        <v>627</v>
      </c>
      <c r="C6" s="54" t="s">
        <v>689</v>
      </c>
      <c r="D6" s="127" t="s">
        <v>690</v>
      </c>
      <c r="E6" s="1">
        <v>47900</v>
      </c>
      <c r="F6" s="1">
        <v>36</v>
      </c>
      <c r="G6" s="1">
        <v>2037</v>
      </c>
      <c r="H6" s="1" t="s">
        <v>630</v>
      </c>
      <c r="I6" s="1" t="s">
        <v>691</v>
      </c>
      <c r="J6" s="1" t="s">
        <v>692</v>
      </c>
      <c r="K6" s="126" t="s">
        <v>693</v>
      </c>
      <c r="L6" s="1" t="s">
        <v>694</v>
      </c>
      <c r="M6" s="131">
        <v>735233</v>
      </c>
      <c r="N6" s="126" t="s">
        <v>636</v>
      </c>
      <c r="O6" s="131">
        <v>6295610212</v>
      </c>
      <c r="P6" s="1" t="s">
        <v>695</v>
      </c>
      <c r="Q6" s="1" t="s">
        <v>696</v>
      </c>
      <c r="R6" s="1" t="s">
        <v>697</v>
      </c>
      <c r="S6" s="1">
        <v>3000</v>
      </c>
      <c r="T6" s="1">
        <v>111270</v>
      </c>
      <c r="U6" s="1">
        <v>114270</v>
      </c>
      <c r="V6" s="1" t="s">
        <v>698</v>
      </c>
      <c r="W6" s="129" t="s">
        <v>699</v>
      </c>
      <c r="X6" t="s">
        <v>700</v>
      </c>
      <c r="Y6" t="s">
        <v>644</v>
      </c>
      <c r="Z6" t="s">
        <v>645</v>
      </c>
    </row>
    <row r="7" spans="1:26" x14ac:dyDescent="0.3">
      <c r="A7" s="126" t="s">
        <v>701</v>
      </c>
      <c r="B7" s="126" t="s">
        <v>91</v>
      </c>
      <c r="C7" s="54" t="s">
        <v>702</v>
      </c>
      <c r="D7" s="127" t="s">
        <v>703</v>
      </c>
      <c r="E7" s="126">
        <v>46000</v>
      </c>
      <c r="F7" s="126">
        <v>22</v>
      </c>
      <c r="G7" s="126">
        <v>3096</v>
      </c>
      <c r="H7" s="126" t="s">
        <v>630</v>
      </c>
      <c r="I7" s="126" t="s">
        <v>704</v>
      </c>
      <c r="J7" s="126" t="s">
        <v>705</v>
      </c>
      <c r="K7" s="126" t="s">
        <v>706</v>
      </c>
      <c r="L7" s="126" t="s">
        <v>707</v>
      </c>
      <c r="M7" s="128" t="s">
        <v>708</v>
      </c>
      <c r="N7" s="126" t="s">
        <v>709</v>
      </c>
      <c r="O7" s="128" t="s">
        <v>710</v>
      </c>
      <c r="P7" s="126" t="s">
        <v>711</v>
      </c>
      <c r="Q7" s="126" t="s">
        <v>712</v>
      </c>
      <c r="R7" s="126" t="s">
        <v>713</v>
      </c>
      <c r="S7" s="126">
        <v>3000</v>
      </c>
      <c r="T7" s="126">
        <v>41100</v>
      </c>
      <c r="U7" s="126">
        <v>44100</v>
      </c>
      <c r="V7" s="126" t="s">
        <v>714</v>
      </c>
      <c r="W7" s="129" t="s">
        <v>715</v>
      </c>
      <c r="X7" t="s">
        <v>716</v>
      </c>
      <c r="Y7" t="s">
        <v>644</v>
      </c>
      <c r="Z7" t="s">
        <v>645</v>
      </c>
    </row>
    <row r="8" spans="1:26" x14ac:dyDescent="0.3">
      <c r="A8" s="126" t="s">
        <v>717</v>
      </c>
      <c r="B8" s="126" t="s">
        <v>91</v>
      </c>
      <c r="C8" s="54" t="s">
        <v>702</v>
      </c>
      <c r="D8" s="127" t="s">
        <v>718</v>
      </c>
      <c r="E8" s="126">
        <v>97700</v>
      </c>
      <c r="F8" s="126">
        <v>48</v>
      </c>
      <c r="G8" s="126">
        <v>3282</v>
      </c>
      <c r="H8" s="126" t="s">
        <v>630</v>
      </c>
      <c r="I8" s="126" t="s">
        <v>719</v>
      </c>
      <c r="J8" s="126" t="s">
        <v>720</v>
      </c>
      <c r="K8" s="126" t="s">
        <v>721</v>
      </c>
      <c r="L8" s="126" t="s">
        <v>722</v>
      </c>
      <c r="M8" s="128" t="s">
        <v>723</v>
      </c>
      <c r="N8" s="126" t="s">
        <v>709</v>
      </c>
      <c r="O8" s="128" t="s">
        <v>724</v>
      </c>
      <c r="P8" s="126" t="s">
        <v>725</v>
      </c>
      <c r="Q8" s="126" t="s">
        <v>726</v>
      </c>
      <c r="R8" s="126" t="s">
        <v>727</v>
      </c>
      <c r="S8" s="126">
        <v>3000</v>
      </c>
      <c r="T8" s="126">
        <v>92696</v>
      </c>
      <c r="U8" s="126">
        <v>95696</v>
      </c>
      <c r="V8" s="126" t="s">
        <v>728</v>
      </c>
      <c r="W8" s="129" t="s">
        <v>729</v>
      </c>
      <c r="X8" t="s">
        <v>730</v>
      </c>
      <c r="Y8" t="s">
        <v>644</v>
      </c>
      <c r="Z8" t="s">
        <v>645</v>
      </c>
    </row>
    <row r="9" spans="1:26" x14ac:dyDescent="0.3">
      <c r="A9" s="126" t="s">
        <v>731</v>
      </c>
      <c r="B9" s="126" t="s">
        <v>91</v>
      </c>
      <c r="C9" s="54" t="s">
        <v>702</v>
      </c>
      <c r="D9" s="127" t="s">
        <v>732</v>
      </c>
      <c r="E9" s="126">
        <v>96900</v>
      </c>
      <c r="F9" s="126">
        <v>36</v>
      </c>
      <c r="G9" s="126">
        <v>4146</v>
      </c>
      <c r="H9" s="126" t="s">
        <v>630</v>
      </c>
      <c r="I9" s="126" t="s">
        <v>733</v>
      </c>
      <c r="J9" s="126" t="s">
        <v>734</v>
      </c>
      <c r="K9" s="126" t="s">
        <v>735</v>
      </c>
      <c r="L9" s="126" t="s">
        <v>736</v>
      </c>
      <c r="M9" s="128" t="s">
        <v>737</v>
      </c>
      <c r="N9" s="126" t="s">
        <v>709</v>
      </c>
      <c r="O9" s="128" t="s">
        <v>738</v>
      </c>
      <c r="P9" s="126" t="s">
        <v>739</v>
      </c>
      <c r="Q9" s="126" t="s">
        <v>740</v>
      </c>
      <c r="R9" s="126" t="s">
        <v>741</v>
      </c>
      <c r="S9" s="126">
        <v>3000</v>
      </c>
      <c r="T9" s="126">
        <v>109893</v>
      </c>
      <c r="U9" s="126">
        <v>112893</v>
      </c>
      <c r="V9" s="126" t="s">
        <v>742</v>
      </c>
      <c r="W9" s="129" t="s">
        <v>743</v>
      </c>
      <c r="X9" t="s">
        <v>744</v>
      </c>
      <c r="Y9" t="s">
        <v>644</v>
      </c>
      <c r="Z9" t="s">
        <v>645</v>
      </c>
    </row>
    <row r="10" spans="1:26" x14ac:dyDescent="0.3">
      <c r="A10" s="126" t="s">
        <v>745</v>
      </c>
      <c r="B10" s="126" t="s">
        <v>91</v>
      </c>
      <c r="C10" s="54" t="s">
        <v>702</v>
      </c>
      <c r="D10" s="127" t="s">
        <v>746</v>
      </c>
      <c r="E10" s="126">
        <v>94999</v>
      </c>
      <c r="F10" s="126">
        <v>30</v>
      </c>
      <c r="G10" s="126">
        <v>4093</v>
      </c>
      <c r="H10" s="126" t="s">
        <v>630</v>
      </c>
      <c r="I10" s="126" t="s">
        <v>747</v>
      </c>
      <c r="J10" s="126" t="s">
        <v>748</v>
      </c>
      <c r="K10" s="126" t="s">
        <v>749</v>
      </c>
      <c r="L10" s="126" t="s">
        <v>750</v>
      </c>
      <c r="M10" s="128" t="s">
        <v>751</v>
      </c>
      <c r="N10" s="126" t="s">
        <v>709</v>
      </c>
      <c r="O10" s="128" t="s">
        <v>752</v>
      </c>
      <c r="P10" s="126" t="s">
        <v>753</v>
      </c>
      <c r="Q10" s="126" t="s">
        <v>754</v>
      </c>
      <c r="R10" s="126" t="s">
        <v>755</v>
      </c>
      <c r="S10" s="126">
        <v>3000</v>
      </c>
      <c r="T10" s="126">
        <v>117374</v>
      </c>
      <c r="U10" s="126">
        <v>120374</v>
      </c>
      <c r="V10" s="126" t="s">
        <v>742</v>
      </c>
      <c r="W10" s="129" t="s">
        <v>756</v>
      </c>
      <c r="X10" t="s">
        <v>757</v>
      </c>
      <c r="Y10" t="s">
        <v>644</v>
      </c>
      <c r="Z10" t="s">
        <v>645</v>
      </c>
    </row>
    <row r="11" spans="1:26" x14ac:dyDescent="0.3">
      <c r="A11" s="126" t="s">
        <v>758</v>
      </c>
      <c r="B11" s="126" t="s">
        <v>91</v>
      </c>
      <c r="C11" s="54" t="s">
        <v>702</v>
      </c>
      <c r="D11" s="127" t="s">
        <v>759</v>
      </c>
      <c r="E11" s="126">
        <v>60000</v>
      </c>
      <c r="F11" s="126">
        <v>24</v>
      </c>
      <c r="G11" s="126">
        <v>2950</v>
      </c>
      <c r="H11" s="126" t="s">
        <v>630</v>
      </c>
      <c r="I11" s="126" t="s">
        <v>760</v>
      </c>
      <c r="J11" s="126" t="s">
        <v>761</v>
      </c>
      <c r="K11" s="126" t="s">
        <v>762</v>
      </c>
      <c r="L11" s="126" t="s">
        <v>736</v>
      </c>
      <c r="M11" s="128" t="s">
        <v>763</v>
      </c>
      <c r="N11" s="126" t="s">
        <v>709</v>
      </c>
      <c r="O11" s="128" t="s">
        <v>764</v>
      </c>
      <c r="P11" s="126" t="s">
        <v>765</v>
      </c>
      <c r="Q11" s="126" t="s">
        <v>766</v>
      </c>
      <c r="R11" s="126" t="s">
        <v>767</v>
      </c>
      <c r="S11" s="126">
        <v>3000</v>
      </c>
      <c r="T11" s="126">
        <v>61581</v>
      </c>
      <c r="U11" s="126">
        <v>64581</v>
      </c>
      <c r="V11" s="126" t="s">
        <v>768</v>
      </c>
      <c r="W11" s="129" t="s">
        <v>769</v>
      </c>
      <c r="X11" t="s">
        <v>770</v>
      </c>
      <c r="Y11" t="s">
        <v>644</v>
      </c>
      <c r="Z11" t="s">
        <v>645</v>
      </c>
    </row>
    <row r="12" spans="1:26" x14ac:dyDescent="0.3">
      <c r="A12" s="126" t="s">
        <v>771</v>
      </c>
      <c r="B12" s="126" t="s">
        <v>91</v>
      </c>
      <c r="C12" s="54" t="s">
        <v>702</v>
      </c>
      <c r="D12" s="127" t="s">
        <v>772</v>
      </c>
      <c r="E12" s="126">
        <v>74000</v>
      </c>
      <c r="F12" s="126">
        <v>34</v>
      </c>
      <c r="G12" s="126">
        <v>3269</v>
      </c>
      <c r="H12" s="126" t="s">
        <v>630</v>
      </c>
      <c r="I12" s="126" t="s">
        <v>773</v>
      </c>
      <c r="J12" s="126" t="s">
        <v>720</v>
      </c>
      <c r="K12" s="126" t="s">
        <v>774</v>
      </c>
      <c r="L12" s="126" t="s">
        <v>722</v>
      </c>
      <c r="M12" s="128" t="s">
        <v>775</v>
      </c>
      <c r="N12" s="126" t="s">
        <v>709</v>
      </c>
      <c r="O12" s="128" t="s">
        <v>776</v>
      </c>
      <c r="P12" s="126" t="s">
        <v>777</v>
      </c>
      <c r="Q12" s="126" t="s">
        <v>778</v>
      </c>
      <c r="R12" s="126" t="s">
        <v>779</v>
      </c>
      <c r="S12" s="126">
        <v>3000</v>
      </c>
      <c r="T12" s="126">
        <v>51371</v>
      </c>
      <c r="U12" s="126">
        <v>54371</v>
      </c>
      <c r="V12" s="126" t="s">
        <v>780</v>
      </c>
      <c r="W12" s="129" t="s">
        <v>781</v>
      </c>
      <c r="X12" t="s">
        <v>782</v>
      </c>
      <c r="Y12" t="s">
        <v>644</v>
      </c>
      <c r="Z12" t="s">
        <v>645</v>
      </c>
    </row>
    <row r="13" spans="1:26" x14ac:dyDescent="0.3">
      <c r="A13" s="126" t="s">
        <v>783</v>
      </c>
      <c r="B13" s="126" t="s">
        <v>91</v>
      </c>
      <c r="C13" s="1" t="s">
        <v>682</v>
      </c>
      <c r="D13" s="127" t="s">
        <v>784</v>
      </c>
      <c r="E13" s="126">
        <v>61000</v>
      </c>
      <c r="F13" s="126">
        <v>30</v>
      </c>
      <c r="G13" s="126">
        <v>2568</v>
      </c>
      <c r="H13" s="126" t="s">
        <v>630</v>
      </c>
      <c r="I13" s="126" t="s">
        <v>785</v>
      </c>
      <c r="J13" s="126" t="s">
        <v>786</v>
      </c>
      <c r="K13" s="126" t="s">
        <v>787</v>
      </c>
      <c r="L13" s="126" t="s">
        <v>707</v>
      </c>
      <c r="M13" s="128" t="s">
        <v>708</v>
      </c>
      <c r="N13" s="126" t="s">
        <v>709</v>
      </c>
      <c r="O13" s="128" t="s">
        <v>788</v>
      </c>
      <c r="P13" s="126" t="s">
        <v>789</v>
      </c>
      <c r="Q13" s="126" t="s">
        <v>790</v>
      </c>
      <c r="R13" s="126" t="s">
        <v>791</v>
      </c>
      <c r="S13" s="126">
        <v>3000</v>
      </c>
      <c r="T13" s="126">
        <v>32225</v>
      </c>
      <c r="U13" s="126">
        <v>35225</v>
      </c>
      <c r="V13" s="126" t="s">
        <v>657</v>
      </c>
      <c r="W13" s="129" t="s">
        <v>792</v>
      </c>
      <c r="X13" t="s">
        <v>793</v>
      </c>
      <c r="Y13" t="s">
        <v>644</v>
      </c>
      <c r="Z13" t="s">
        <v>645</v>
      </c>
    </row>
    <row r="14" spans="1:26" x14ac:dyDescent="0.3">
      <c r="A14" s="126" t="s">
        <v>794</v>
      </c>
      <c r="B14" s="126" t="s">
        <v>91</v>
      </c>
      <c r="C14" s="54" t="s">
        <v>702</v>
      </c>
      <c r="D14" s="127" t="s">
        <v>795</v>
      </c>
      <c r="E14" s="126">
        <v>37758</v>
      </c>
      <c r="F14" s="126">
        <v>30</v>
      </c>
      <c r="G14" s="126">
        <v>1739</v>
      </c>
      <c r="H14" s="126" t="s">
        <v>630</v>
      </c>
      <c r="I14" s="126" t="s">
        <v>796</v>
      </c>
      <c r="J14" s="126" t="s">
        <v>797</v>
      </c>
      <c r="K14" s="126" t="s">
        <v>798</v>
      </c>
      <c r="L14" s="126" t="s">
        <v>799</v>
      </c>
      <c r="M14" s="128" t="s">
        <v>800</v>
      </c>
      <c r="N14" s="126" t="s">
        <v>709</v>
      </c>
      <c r="O14" s="128" t="s">
        <v>801</v>
      </c>
      <c r="P14" s="126" t="s">
        <v>802</v>
      </c>
      <c r="Q14" s="126" t="s">
        <v>803</v>
      </c>
      <c r="R14" s="126" t="s">
        <v>804</v>
      </c>
      <c r="S14" s="126">
        <v>3000</v>
      </c>
      <c r="T14" s="126">
        <v>55932</v>
      </c>
      <c r="U14" s="126">
        <v>58932</v>
      </c>
      <c r="V14" s="126" t="s">
        <v>805</v>
      </c>
      <c r="W14" s="129" t="s">
        <v>806</v>
      </c>
      <c r="X14" t="s">
        <v>807</v>
      </c>
      <c r="Y14" t="s">
        <v>644</v>
      </c>
      <c r="Z14" t="s">
        <v>645</v>
      </c>
    </row>
    <row r="15" spans="1:26" x14ac:dyDescent="0.3">
      <c r="A15" s="126" t="s">
        <v>808</v>
      </c>
      <c r="B15" s="126" t="s">
        <v>91</v>
      </c>
      <c r="C15" s="54" t="s">
        <v>628</v>
      </c>
      <c r="D15" s="127" t="s">
        <v>809</v>
      </c>
      <c r="E15" s="126">
        <v>52000</v>
      </c>
      <c r="F15" s="126">
        <v>34</v>
      </c>
      <c r="G15" s="126">
        <v>2200</v>
      </c>
      <c r="H15" s="126" t="s">
        <v>630</v>
      </c>
      <c r="I15" s="126" t="s">
        <v>810</v>
      </c>
      <c r="J15" s="126" t="s">
        <v>811</v>
      </c>
      <c r="K15" s="126" t="s">
        <v>812</v>
      </c>
      <c r="L15" s="126" t="s">
        <v>707</v>
      </c>
      <c r="M15" s="128" t="s">
        <v>708</v>
      </c>
      <c r="N15" s="126" t="s">
        <v>709</v>
      </c>
      <c r="O15" s="128" t="s">
        <v>813</v>
      </c>
      <c r="P15" s="126" t="s">
        <v>814</v>
      </c>
      <c r="Q15" s="126" t="s">
        <v>815</v>
      </c>
      <c r="R15" s="126" t="s">
        <v>816</v>
      </c>
      <c r="S15" s="126">
        <v>3000</v>
      </c>
      <c r="T15" s="126">
        <v>28990</v>
      </c>
      <c r="U15" s="126">
        <v>31990</v>
      </c>
      <c r="V15" s="126" t="s">
        <v>817</v>
      </c>
      <c r="W15" s="129" t="s">
        <v>818</v>
      </c>
      <c r="X15" t="s">
        <v>819</v>
      </c>
      <c r="Y15" t="s">
        <v>644</v>
      </c>
      <c r="Z15" t="s">
        <v>645</v>
      </c>
    </row>
    <row r="16" spans="1:26" x14ac:dyDescent="0.3">
      <c r="A16" s="126" t="s">
        <v>820</v>
      </c>
      <c r="B16" s="126" t="s">
        <v>91</v>
      </c>
      <c r="C16" s="54" t="s">
        <v>702</v>
      </c>
      <c r="D16" s="127" t="s">
        <v>821</v>
      </c>
      <c r="E16" s="126">
        <v>52200</v>
      </c>
      <c r="F16" s="126">
        <v>30</v>
      </c>
      <c r="G16" s="126">
        <v>2471</v>
      </c>
      <c r="H16" s="126" t="s">
        <v>630</v>
      </c>
      <c r="I16" s="126" t="s">
        <v>822</v>
      </c>
      <c r="J16" s="126" t="s">
        <v>823</v>
      </c>
      <c r="K16" s="126" t="s">
        <v>824</v>
      </c>
      <c r="L16" s="126" t="s">
        <v>825</v>
      </c>
      <c r="M16" s="128" t="s">
        <v>826</v>
      </c>
      <c r="N16" s="126" t="s">
        <v>709</v>
      </c>
      <c r="O16" s="128" t="s">
        <v>827</v>
      </c>
      <c r="P16" s="126" t="s">
        <v>828</v>
      </c>
      <c r="Q16" s="126" t="s">
        <v>829</v>
      </c>
      <c r="R16" s="126" t="s">
        <v>830</v>
      </c>
      <c r="S16" s="126">
        <v>3000</v>
      </c>
      <c r="T16" s="126">
        <v>151245</v>
      </c>
      <c r="U16" s="126">
        <v>154245</v>
      </c>
      <c r="V16" s="126" t="s">
        <v>657</v>
      </c>
      <c r="W16" s="129" t="s">
        <v>831</v>
      </c>
      <c r="X16" t="s">
        <v>832</v>
      </c>
      <c r="Y16" t="s">
        <v>644</v>
      </c>
      <c r="Z16" t="s">
        <v>645</v>
      </c>
    </row>
    <row r="17" spans="1:26" x14ac:dyDescent="0.3">
      <c r="A17" s="126" t="s">
        <v>833</v>
      </c>
      <c r="B17" s="126" t="s">
        <v>91</v>
      </c>
      <c r="C17" s="54" t="s">
        <v>702</v>
      </c>
      <c r="D17" s="127" t="s">
        <v>834</v>
      </c>
      <c r="E17" s="126">
        <v>1475000</v>
      </c>
      <c r="F17" s="126">
        <v>48</v>
      </c>
      <c r="G17" s="126">
        <v>44963</v>
      </c>
      <c r="H17" s="126" t="s">
        <v>630</v>
      </c>
      <c r="I17" s="126" t="s">
        <v>835</v>
      </c>
      <c r="J17" s="126" t="s">
        <v>836</v>
      </c>
      <c r="K17" s="126" t="s">
        <v>837</v>
      </c>
      <c r="L17" s="126" t="s">
        <v>838</v>
      </c>
      <c r="M17" s="128" t="s">
        <v>839</v>
      </c>
      <c r="N17" s="126" t="s">
        <v>709</v>
      </c>
      <c r="O17" s="128" t="s">
        <v>840</v>
      </c>
      <c r="P17" s="126" t="s">
        <v>841</v>
      </c>
      <c r="Q17" s="126" t="s">
        <v>842</v>
      </c>
      <c r="R17" s="126" t="s">
        <v>843</v>
      </c>
      <c r="S17" s="126">
        <v>15000</v>
      </c>
      <c r="T17" s="126">
        <v>1546719</v>
      </c>
      <c r="U17" s="126">
        <v>1561719</v>
      </c>
      <c r="V17" s="126" t="s">
        <v>844</v>
      </c>
      <c r="W17" s="129" t="s">
        <v>845</v>
      </c>
      <c r="X17" t="s">
        <v>846</v>
      </c>
      <c r="Y17" t="s">
        <v>644</v>
      </c>
      <c r="Z17" t="s">
        <v>645</v>
      </c>
    </row>
    <row r="18" spans="1:26" x14ac:dyDescent="0.3">
      <c r="A18" s="126" t="s">
        <v>847</v>
      </c>
      <c r="B18" s="126" t="s">
        <v>91</v>
      </c>
      <c r="C18" s="54" t="s">
        <v>661</v>
      </c>
      <c r="D18" s="127" t="s">
        <v>848</v>
      </c>
      <c r="E18" s="126">
        <v>55100</v>
      </c>
      <c r="F18" s="126">
        <v>31</v>
      </c>
      <c r="G18" s="126">
        <v>2709</v>
      </c>
      <c r="H18" s="126" t="s">
        <v>630</v>
      </c>
      <c r="I18" s="126" t="s">
        <v>849</v>
      </c>
      <c r="J18" s="126" t="s">
        <v>850</v>
      </c>
      <c r="K18" s="126" t="s">
        <v>851</v>
      </c>
      <c r="L18" s="126" t="s">
        <v>707</v>
      </c>
      <c r="M18" s="128" t="s">
        <v>852</v>
      </c>
      <c r="N18" s="126" t="s">
        <v>709</v>
      </c>
      <c r="O18" s="128" t="s">
        <v>853</v>
      </c>
      <c r="P18" s="126" t="s">
        <v>854</v>
      </c>
      <c r="Q18" s="126" t="s">
        <v>855</v>
      </c>
      <c r="R18" s="126" t="s">
        <v>856</v>
      </c>
      <c r="S18" s="126">
        <v>3000</v>
      </c>
      <c r="T18" s="126">
        <v>33908</v>
      </c>
      <c r="U18" s="126">
        <v>36908</v>
      </c>
      <c r="V18" s="126" t="s">
        <v>857</v>
      </c>
      <c r="W18" s="129" t="s">
        <v>858</v>
      </c>
      <c r="X18" t="s">
        <v>859</v>
      </c>
      <c r="Y18" t="s">
        <v>644</v>
      </c>
      <c r="Z18" t="s">
        <v>645</v>
      </c>
    </row>
    <row r="19" spans="1:26" x14ac:dyDescent="0.3">
      <c r="A19" s="126" t="s">
        <v>860</v>
      </c>
      <c r="B19" s="126" t="s">
        <v>91</v>
      </c>
      <c r="C19" s="54" t="s">
        <v>702</v>
      </c>
      <c r="D19" s="127" t="s">
        <v>861</v>
      </c>
      <c r="E19" s="126">
        <v>65500</v>
      </c>
      <c r="F19" s="126">
        <v>24</v>
      </c>
      <c r="G19" s="126">
        <v>3374</v>
      </c>
      <c r="H19" s="126" t="s">
        <v>630</v>
      </c>
      <c r="I19" s="126" t="s">
        <v>862</v>
      </c>
      <c r="J19" s="126" t="s">
        <v>863</v>
      </c>
      <c r="K19" s="126" t="s">
        <v>864</v>
      </c>
      <c r="L19" s="126" t="s">
        <v>707</v>
      </c>
      <c r="M19" s="128" t="s">
        <v>865</v>
      </c>
      <c r="N19" s="126" t="s">
        <v>709</v>
      </c>
      <c r="O19" s="128" t="s">
        <v>866</v>
      </c>
      <c r="P19" s="126" t="s">
        <v>867</v>
      </c>
      <c r="Q19" s="126" t="s">
        <v>868</v>
      </c>
      <c r="R19" s="126" t="s">
        <v>869</v>
      </c>
      <c r="S19" s="126">
        <v>3000</v>
      </c>
      <c r="T19" s="126">
        <v>42942</v>
      </c>
      <c r="U19" s="126">
        <v>45942</v>
      </c>
      <c r="V19" s="126" t="s">
        <v>870</v>
      </c>
      <c r="W19" s="129" t="s">
        <v>871</v>
      </c>
      <c r="X19" t="s">
        <v>872</v>
      </c>
      <c r="Y19" t="s">
        <v>644</v>
      </c>
      <c r="Z19" t="s">
        <v>645</v>
      </c>
    </row>
    <row r="20" spans="1:26" x14ac:dyDescent="0.3">
      <c r="A20" s="126" t="s">
        <v>873</v>
      </c>
      <c r="B20" s="126" t="s">
        <v>91</v>
      </c>
      <c r="C20" s="54" t="s">
        <v>661</v>
      </c>
      <c r="D20" s="127" t="s">
        <v>874</v>
      </c>
      <c r="E20" s="126">
        <v>49500</v>
      </c>
      <c r="F20" s="126">
        <v>24</v>
      </c>
      <c r="G20" s="126">
        <v>2690</v>
      </c>
      <c r="H20" s="126" t="s">
        <v>630</v>
      </c>
      <c r="I20" s="126" t="s">
        <v>875</v>
      </c>
      <c r="J20" s="126" t="s">
        <v>876</v>
      </c>
      <c r="K20" s="126" t="s">
        <v>877</v>
      </c>
      <c r="L20" s="126" t="s">
        <v>825</v>
      </c>
      <c r="M20" s="128" t="s">
        <v>878</v>
      </c>
      <c r="N20" s="126" t="s">
        <v>709</v>
      </c>
      <c r="O20" s="128" t="s">
        <v>879</v>
      </c>
      <c r="P20" s="126" t="s">
        <v>880</v>
      </c>
      <c r="Q20" s="126" t="s">
        <v>881</v>
      </c>
      <c r="R20" s="126" t="s">
        <v>882</v>
      </c>
      <c r="S20" s="126">
        <v>3000</v>
      </c>
      <c r="T20" s="126">
        <v>129500</v>
      </c>
      <c r="U20" s="126">
        <v>132500</v>
      </c>
      <c r="V20" s="126" t="s">
        <v>883</v>
      </c>
      <c r="W20" s="129" t="s">
        <v>884</v>
      </c>
      <c r="X20" t="s">
        <v>885</v>
      </c>
      <c r="Y20" t="s">
        <v>644</v>
      </c>
      <c r="Z20" t="s">
        <v>645</v>
      </c>
    </row>
    <row r="21" spans="1:26" x14ac:dyDescent="0.3">
      <c r="A21" s="126" t="s">
        <v>886</v>
      </c>
      <c r="B21" s="126" t="s">
        <v>887</v>
      </c>
      <c r="C21" s="54" t="s">
        <v>702</v>
      </c>
      <c r="D21" s="127" t="s">
        <v>888</v>
      </c>
      <c r="E21" s="126">
        <v>54250</v>
      </c>
      <c r="F21" s="126">
        <v>41</v>
      </c>
      <c r="G21" s="126">
        <v>2756</v>
      </c>
      <c r="H21" s="126" t="s">
        <v>630</v>
      </c>
      <c r="I21" s="126" t="s">
        <v>889</v>
      </c>
      <c r="J21" s="126" t="s">
        <v>890</v>
      </c>
      <c r="K21" s="126" t="s">
        <v>891</v>
      </c>
      <c r="L21" s="126" t="s">
        <v>892</v>
      </c>
      <c r="M21" s="128" t="s">
        <v>893</v>
      </c>
      <c r="N21" s="126" t="s">
        <v>894</v>
      </c>
      <c r="O21" s="128" t="s">
        <v>895</v>
      </c>
      <c r="P21" s="126" t="s">
        <v>896</v>
      </c>
      <c r="Q21" s="126" t="s">
        <v>897</v>
      </c>
      <c r="R21" s="126" t="s">
        <v>898</v>
      </c>
      <c r="S21" s="126">
        <v>3000</v>
      </c>
      <c r="T21" s="126">
        <v>31591</v>
      </c>
      <c r="U21" s="126">
        <v>34591</v>
      </c>
      <c r="V21" s="126" t="s">
        <v>714</v>
      </c>
      <c r="W21" s="129" t="s">
        <v>899</v>
      </c>
      <c r="X21" t="s">
        <v>900</v>
      </c>
      <c r="Y21" t="s">
        <v>644</v>
      </c>
      <c r="Z21" t="s">
        <v>645</v>
      </c>
    </row>
    <row r="22" spans="1:26" x14ac:dyDescent="0.3">
      <c r="A22" s="126" t="s">
        <v>901</v>
      </c>
      <c r="B22" s="126" t="s">
        <v>887</v>
      </c>
      <c r="C22" s="54" t="s">
        <v>628</v>
      </c>
      <c r="D22" s="127" t="s">
        <v>902</v>
      </c>
      <c r="E22" s="126">
        <v>38900</v>
      </c>
      <c r="F22" s="126">
        <v>24</v>
      </c>
      <c r="G22" s="126">
        <v>1978</v>
      </c>
      <c r="H22" s="126" t="s">
        <v>630</v>
      </c>
      <c r="I22" s="126" t="s">
        <v>903</v>
      </c>
      <c r="J22" s="126" t="s">
        <v>904</v>
      </c>
      <c r="K22" s="126" t="s">
        <v>905</v>
      </c>
      <c r="L22" s="126" t="s">
        <v>906</v>
      </c>
      <c r="M22" s="128" t="s">
        <v>907</v>
      </c>
      <c r="N22" s="126" t="s">
        <v>894</v>
      </c>
      <c r="O22" s="128" t="s">
        <v>908</v>
      </c>
      <c r="P22" s="1" t="s">
        <v>682</v>
      </c>
      <c r="Q22" s="126" t="s">
        <v>909</v>
      </c>
      <c r="R22" s="126" t="s">
        <v>910</v>
      </c>
      <c r="S22" s="126">
        <v>3000</v>
      </c>
      <c r="T22" s="126">
        <v>88462</v>
      </c>
      <c r="U22" s="126">
        <v>91462</v>
      </c>
      <c r="V22" s="126" t="s">
        <v>817</v>
      </c>
      <c r="W22" s="129" t="s">
        <v>911</v>
      </c>
      <c r="X22" t="s">
        <v>912</v>
      </c>
      <c r="Y22" t="s">
        <v>644</v>
      </c>
      <c r="Z22" t="s">
        <v>645</v>
      </c>
    </row>
    <row r="23" spans="1:26" x14ac:dyDescent="0.3">
      <c r="A23" s="126" t="s">
        <v>913</v>
      </c>
      <c r="B23" s="126" t="s">
        <v>89</v>
      </c>
      <c r="C23" s="54" t="s">
        <v>628</v>
      </c>
      <c r="D23" s="127" t="s">
        <v>914</v>
      </c>
      <c r="E23" s="126">
        <v>85043</v>
      </c>
      <c r="F23" s="126">
        <v>43</v>
      </c>
      <c r="G23" s="126">
        <v>3483</v>
      </c>
      <c r="H23" s="126" t="s">
        <v>630</v>
      </c>
      <c r="I23" s="126" t="s">
        <v>915</v>
      </c>
      <c r="J23" s="126" t="s">
        <v>916</v>
      </c>
      <c r="K23" s="126" t="s">
        <v>917</v>
      </c>
      <c r="L23" s="126" t="s">
        <v>918</v>
      </c>
      <c r="M23" s="128" t="s">
        <v>919</v>
      </c>
      <c r="N23" s="126" t="s">
        <v>894</v>
      </c>
      <c r="O23" s="128" t="s">
        <v>920</v>
      </c>
      <c r="P23" s="1" t="s">
        <v>682</v>
      </c>
      <c r="Q23" s="126" t="s">
        <v>921</v>
      </c>
      <c r="R23" s="126" t="s">
        <v>922</v>
      </c>
      <c r="S23" s="126">
        <v>3000</v>
      </c>
      <c r="T23" s="126">
        <v>116443</v>
      </c>
      <c r="U23" s="126">
        <v>119443</v>
      </c>
      <c r="V23" s="126" t="s">
        <v>923</v>
      </c>
      <c r="W23" s="129" t="s">
        <v>924</v>
      </c>
      <c r="X23" t="s">
        <v>925</v>
      </c>
      <c r="Y23" t="s">
        <v>644</v>
      </c>
      <c r="Z23" t="s">
        <v>645</v>
      </c>
    </row>
    <row r="24" spans="1:26" x14ac:dyDescent="0.3">
      <c r="A24" s="126" t="s">
        <v>926</v>
      </c>
      <c r="B24" s="126" t="s">
        <v>93</v>
      </c>
      <c r="C24" s="54" t="s">
        <v>702</v>
      </c>
      <c r="D24" s="127" t="s">
        <v>927</v>
      </c>
      <c r="E24" s="126">
        <v>37499</v>
      </c>
      <c r="F24" s="126">
        <v>24</v>
      </c>
      <c r="G24" s="126">
        <v>2172</v>
      </c>
      <c r="H24" s="126" t="s">
        <v>630</v>
      </c>
      <c r="I24" s="126" t="s">
        <v>928</v>
      </c>
      <c r="J24" s="126" t="s">
        <v>929</v>
      </c>
      <c r="K24" s="126" t="s">
        <v>930</v>
      </c>
      <c r="L24" s="126" t="s">
        <v>931</v>
      </c>
      <c r="M24" s="128" t="s">
        <v>932</v>
      </c>
      <c r="N24" s="126" t="s">
        <v>894</v>
      </c>
      <c r="O24" s="128" t="s">
        <v>933</v>
      </c>
      <c r="P24" s="126" t="s">
        <v>934</v>
      </c>
      <c r="Q24" s="126" t="s">
        <v>935</v>
      </c>
      <c r="R24" s="126" t="s">
        <v>936</v>
      </c>
      <c r="S24" s="126">
        <v>3000</v>
      </c>
      <c r="T24" s="126">
        <v>18047</v>
      </c>
      <c r="U24" s="126">
        <v>21047</v>
      </c>
      <c r="V24" s="126" t="s">
        <v>685</v>
      </c>
      <c r="W24" s="129" t="s">
        <v>937</v>
      </c>
      <c r="X24" t="s">
        <v>938</v>
      </c>
      <c r="Y24" t="s">
        <v>644</v>
      </c>
      <c r="Z24" t="s">
        <v>645</v>
      </c>
    </row>
    <row r="25" spans="1:26" x14ac:dyDescent="0.3">
      <c r="A25" s="126" t="s">
        <v>939</v>
      </c>
      <c r="B25" s="126" t="s">
        <v>887</v>
      </c>
      <c r="C25" s="54" t="s">
        <v>702</v>
      </c>
      <c r="D25" s="127" t="s">
        <v>940</v>
      </c>
      <c r="E25" s="126">
        <v>46836</v>
      </c>
      <c r="F25" s="126">
        <v>38</v>
      </c>
      <c r="G25" s="126">
        <v>2463</v>
      </c>
      <c r="H25" s="126" t="s">
        <v>630</v>
      </c>
      <c r="I25" s="126" t="s">
        <v>941</v>
      </c>
      <c r="J25" s="126" t="s">
        <v>942</v>
      </c>
      <c r="K25" s="126" t="s">
        <v>943</v>
      </c>
      <c r="L25" s="126" t="s">
        <v>944</v>
      </c>
      <c r="M25" s="128" t="s">
        <v>945</v>
      </c>
      <c r="N25" s="126" t="s">
        <v>894</v>
      </c>
      <c r="O25" s="128" t="s">
        <v>946</v>
      </c>
      <c r="P25" s="126" t="s">
        <v>947</v>
      </c>
      <c r="Q25" s="126" t="s">
        <v>948</v>
      </c>
      <c r="R25" s="126" t="s">
        <v>949</v>
      </c>
      <c r="S25" s="126">
        <v>3000</v>
      </c>
      <c r="T25" s="126">
        <v>44668</v>
      </c>
      <c r="U25" s="126">
        <v>47668</v>
      </c>
      <c r="V25" s="126" t="s">
        <v>817</v>
      </c>
      <c r="W25" s="129" t="s">
        <v>950</v>
      </c>
      <c r="X25" t="s">
        <v>951</v>
      </c>
      <c r="Y25" t="s">
        <v>644</v>
      </c>
      <c r="Z25" t="s">
        <v>645</v>
      </c>
    </row>
    <row r="26" spans="1:26" x14ac:dyDescent="0.3">
      <c r="A26" s="126" t="s">
        <v>952</v>
      </c>
      <c r="B26" s="126" t="s">
        <v>953</v>
      </c>
      <c r="C26" s="54" t="s">
        <v>628</v>
      </c>
      <c r="D26" s="127" t="s">
        <v>954</v>
      </c>
      <c r="E26" s="126">
        <v>94900</v>
      </c>
      <c r="F26" s="126">
        <v>30</v>
      </c>
      <c r="G26" s="126">
        <v>4224</v>
      </c>
      <c r="H26" s="126" t="s">
        <v>630</v>
      </c>
      <c r="I26" s="126" t="s">
        <v>955</v>
      </c>
      <c r="J26" s="126" t="s">
        <v>956</v>
      </c>
      <c r="K26" s="126" t="s">
        <v>957</v>
      </c>
      <c r="L26" s="126" t="s">
        <v>958</v>
      </c>
      <c r="M26" s="128" t="s">
        <v>959</v>
      </c>
      <c r="N26" s="126" t="s">
        <v>894</v>
      </c>
      <c r="O26" s="128" t="s">
        <v>960</v>
      </c>
      <c r="P26" s="126" t="s">
        <v>961</v>
      </c>
      <c r="Q26" s="126" t="s">
        <v>962</v>
      </c>
      <c r="R26" s="126" t="s">
        <v>963</v>
      </c>
      <c r="S26" s="126">
        <v>3000</v>
      </c>
      <c r="T26" s="126">
        <v>87268</v>
      </c>
      <c r="U26" s="126">
        <v>90268</v>
      </c>
      <c r="V26" s="126" t="s">
        <v>742</v>
      </c>
      <c r="W26" s="129" t="s">
        <v>964</v>
      </c>
      <c r="X26" t="s">
        <v>965</v>
      </c>
      <c r="Y26" t="s">
        <v>644</v>
      </c>
      <c r="Z26" t="s">
        <v>645</v>
      </c>
    </row>
    <row r="27" spans="1:26" x14ac:dyDescent="0.3">
      <c r="A27" s="126" t="s">
        <v>966</v>
      </c>
      <c r="B27" s="126" t="s">
        <v>967</v>
      </c>
      <c r="C27" s="54" t="s">
        <v>628</v>
      </c>
      <c r="D27" s="127" t="s">
        <v>968</v>
      </c>
      <c r="E27" s="126">
        <v>65500</v>
      </c>
      <c r="F27" s="126">
        <v>36</v>
      </c>
      <c r="G27" s="126">
        <v>2365</v>
      </c>
      <c r="H27" s="126" t="s">
        <v>630</v>
      </c>
      <c r="I27" s="126" t="s">
        <v>969</v>
      </c>
      <c r="J27" s="126" t="s">
        <v>970</v>
      </c>
      <c r="K27" s="126" t="s">
        <v>971</v>
      </c>
      <c r="L27" s="126" t="s">
        <v>972</v>
      </c>
      <c r="M27" s="128" t="s">
        <v>973</v>
      </c>
      <c r="N27" s="126" t="s">
        <v>894</v>
      </c>
      <c r="O27" s="128" t="s">
        <v>974</v>
      </c>
      <c r="P27" s="126" t="s">
        <v>975</v>
      </c>
      <c r="Q27" s="126" t="s">
        <v>976</v>
      </c>
      <c r="R27" s="126" t="s">
        <v>977</v>
      </c>
      <c r="S27" s="126">
        <v>3000</v>
      </c>
      <c r="T27" s="126">
        <v>78326</v>
      </c>
      <c r="U27" s="126">
        <v>81326</v>
      </c>
      <c r="V27" s="126" t="s">
        <v>978</v>
      </c>
      <c r="W27" s="129" t="s">
        <v>979</v>
      </c>
      <c r="X27" t="s">
        <v>980</v>
      </c>
      <c r="Y27" t="s">
        <v>644</v>
      </c>
      <c r="Z27" t="s">
        <v>645</v>
      </c>
    </row>
    <row r="28" spans="1:26" x14ac:dyDescent="0.3">
      <c r="A28" s="126" t="s">
        <v>981</v>
      </c>
      <c r="B28" s="126" t="s">
        <v>887</v>
      </c>
      <c r="C28" s="54" t="s">
        <v>702</v>
      </c>
      <c r="D28" s="127" t="s">
        <v>982</v>
      </c>
      <c r="E28" s="126">
        <v>45000</v>
      </c>
      <c r="F28" s="126">
        <v>23</v>
      </c>
      <c r="G28" s="126">
        <v>3067</v>
      </c>
      <c r="H28" s="126" t="s">
        <v>630</v>
      </c>
      <c r="I28" s="126" t="s">
        <v>983</v>
      </c>
      <c r="J28" s="126" t="s">
        <v>984</v>
      </c>
      <c r="K28" s="126" t="s">
        <v>985</v>
      </c>
      <c r="L28" s="126" t="s">
        <v>986</v>
      </c>
      <c r="M28" s="128" t="s">
        <v>987</v>
      </c>
      <c r="N28" s="126" t="s">
        <v>894</v>
      </c>
      <c r="O28" s="128" t="s">
        <v>988</v>
      </c>
      <c r="P28" s="126" t="s">
        <v>989</v>
      </c>
      <c r="Q28" s="126" t="s">
        <v>990</v>
      </c>
      <c r="R28" s="126" t="s">
        <v>991</v>
      </c>
      <c r="S28" s="126">
        <v>3000</v>
      </c>
      <c r="T28" s="126">
        <v>40046</v>
      </c>
      <c r="U28" s="126">
        <v>43046</v>
      </c>
      <c r="V28" s="126" t="s">
        <v>992</v>
      </c>
      <c r="W28" s="129" t="s">
        <v>993</v>
      </c>
      <c r="X28" t="s">
        <v>994</v>
      </c>
      <c r="Y28" t="s">
        <v>644</v>
      </c>
      <c r="Z28" t="s">
        <v>645</v>
      </c>
    </row>
    <row r="29" spans="1:26" x14ac:dyDescent="0.3">
      <c r="A29" s="126" t="s">
        <v>995</v>
      </c>
      <c r="B29" s="126" t="s">
        <v>887</v>
      </c>
      <c r="C29" s="54" t="s">
        <v>702</v>
      </c>
      <c r="D29" s="127" t="s">
        <v>996</v>
      </c>
      <c r="E29" s="126">
        <v>42900</v>
      </c>
      <c r="F29" s="126">
        <v>28</v>
      </c>
      <c r="G29" s="126">
        <v>2276</v>
      </c>
      <c r="H29" s="126" t="s">
        <v>630</v>
      </c>
      <c r="I29" s="126" t="s">
        <v>997</v>
      </c>
      <c r="J29" s="126" t="s">
        <v>998</v>
      </c>
      <c r="K29" s="126" t="s">
        <v>999</v>
      </c>
      <c r="L29" s="126" t="s">
        <v>1000</v>
      </c>
      <c r="M29" s="128" t="s">
        <v>1001</v>
      </c>
      <c r="N29" s="126" t="s">
        <v>894</v>
      </c>
      <c r="O29" s="128" t="s">
        <v>1002</v>
      </c>
      <c r="P29" s="1" t="s">
        <v>682</v>
      </c>
      <c r="Q29" s="126" t="s">
        <v>1003</v>
      </c>
      <c r="R29" s="126" t="s">
        <v>1004</v>
      </c>
      <c r="S29" s="126">
        <v>3000</v>
      </c>
      <c r="T29" s="126">
        <v>77178</v>
      </c>
      <c r="U29" s="126">
        <v>80178</v>
      </c>
      <c r="V29" s="126" t="s">
        <v>1005</v>
      </c>
      <c r="W29" s="129" t="s">
        <v>1006</v>
      </c>
      <c r="X29" t="s">
        <v>1007</v>
      </c>
      <c r="Y29" t="s">
        <v>644</v>
      </c>
      <c r="Z29" t="s">
        <v>645</v>
      </c>
    </row>
    <row r="30" spans="1:26" x14ac:dyDescent="0.3">
      <c r="A30" s="126" t="s">
        <v>1008</v>
      </c>
      <c r="B30" s="126" t="s">
        <v>93</v>
      </c>
      <c r="C30" s="1" t="s">
        <v>682</v>
      </c>
      <c r="D30" s="127" t="s">
        <v>1009</v>
      </c>
      <c r="E30" s="126">
        <v>58499</v>
      </c>
      <c r="F30" s="126">
        <v>35</v>
      </c>
      <c r="G30" s="126">
        <v>2609</v>
      </c>
      <c r="H30" s="126" t="s">
        <v>630</v>
      </c>
      <c r="I30" s="126" t="s">
        <v>1010</v>
      </c>
      <c r="J30" s="126" t="s">
        <v>1011</v>
      </c>
      <c r="K30" s="126" t="s">
        <v>1012</v>
      </c>
      <c r="L30" s="126" t="s">
        <v>1013</v>
      </c>
      <c r="M30" s="128" t="s">
        <v>1014</v>
      </c>
      <c r="N30" s="126" t="s">
        <v>894</v>
      </c>
      <c r="O30" s="128" t="s">
        <v>1015</v>
      </c>
      <c r="P30" s="126" t="s">
        <v>1016</v>
      </c>
      <c r="Q30" s="126" t="s">
        <v>1017</v>
      </c>
      <c r="R30" s="126" t="s">
        <v>1018</v>
      </c>
      <c r="S30" s="126">
        <v>3000</v>
      </c>
      <c r="T30" s="126">
        <v>43816</v>
      </c>
      <c r="U30" s="126">
        <v>46816</v>
      </c>
      <c r="V30" s="126" t="s">
        <v>1019</v>
      </c>
      <c r="W30" s="129" t="s">
        <v>1020</v>
      </c>
      <c r="X30" t="s">
        <v>1021</v>
      </c>
      <c r="Y30" t="s">
        <v>644</v>
      </c>
      <c r="Z30" t="s">
        <v>645</v>
      </c>
    </row>
    <row r="31" spans="1:26" x14ac:dyDescent="0.3">
      <c r="A31" s="126" t="s">
        <v>1022</v>
      </c>
      <c r="B31" s="126" t="s">
        <v>887</v>
      </c>
      <c r="C31" s="54" t="s">
        <v>702</v>
      </c>
      <c r="D31" s="127" t="s">
        <v>1023</v>
      </c>
      <c r="E31" s="126">
        <v>47000</v>
      </c>
      <c r="F31" s="126">
        <v>24</v>
      </c>
      <c r="G31" s="126">
        <v>2300</v>
      </c>
      <c r="H31" s="126" t="s">
        <v>630</v>
      </c>
      <c r="I31" s="126" t="s">
        <v>1024</v>
      </c>
      <c r="J31" s="126" t="s">
        <v>1025</v>
      </c>
      <c r="K31" s="126" t="s">
        <v>1026</v>
      </c>
      <c r="L31" s="126" t="s">
        <v>944</v>
      </c>
      <c r="M31" s="128" t="s">
        <v>1027</v>
      </c>
      <c r="N31" s="126" t="s">
        <v>894</v>
      </c>
      <c r="O31" s="128" t="s">
        <v>1028</v>
      </c>
      <c r="P31" s="126" t="s">
        <v>1029</v>
      </c>
      <c r="Q31" s="126" t="s">
        <v>1030</v>
      </c>
      <c r="R31" s="126" t="s">
        <v>1031</v>
      </c>
      <c r="S31" s="126">
        <v>3000</v>
      </c>
      <c r="T31" s="126">
        <v>109841</v>
      </c>
      <c r="U31" s="126">
        <v>112841</v>
      </c>
      <c r="V31" s="126" t="s">
        <v>1032</v>
      </c>
      <c r="W31" s="129" t="s">
        <v>1033</v>
      </c>
      <c r="X31" t="s">
        <v>1034</v>
      </c>
      <c r="Y31" t="s">
        <v>644</v>
      </c>
      <c r="Z31" t="s">
        <v>645</v>
      </c>
    </row>
    <row r="32" spans="1:26" x14ac:dyDescent="0.3">
      <c r="A32" s="126" t="s">
        <v>1035</v>
      </c>
      <c r="B32" s="126" t="s">
        <v>953</v>
      </c>
      <c r="C32" s="54" t="s">
        <v>628</v>
      </c>
      <c r="D32" s="127" t="s">
        <v>1036</v>
      </c>
      <c r="E32" s="126">
        <v>37608</v>
      </c>
      <c r="F32" s="126">
        <v>40</v>
      </c>
      <c r="G32" s="126">
        <v>2006</v>
      </c>
      <c r="H32" s="126" t="s">
        <v>630</v>
      </c>
      <c r="I32" s="126" t="s">
        <v>1037</v>
      </c>
      <c r="J32" s="126" t="s">
        <v>1038</v>
      </c>
      <c r="K32" s="126" t="s">
        <v>1039</v>
      </c>
      <c r="L32" s="126" t="s">
        <v>958</v>
      </c>
      <c r="M32" s="128" t="s">
        <v>1040</v>
      </c>
      <c r="N32" s="126" t="s">
        <v>894</v>
      </c>
      <c r="O32" s="128" t="s">
        <v>1041</v>
      </c>
      <c r="P32" s="1" t="s">
        <v>682</v>
      </c>
      <c r="Q32" s="126" t="s">
        <v>1042</v>
      </c>
      <c r="R32" s="126" t="s">
        <v>1043</v>
      </c>
      <c r="S32" s="126">
        <v>3000</v>
      </c>
      <c r="T32" s="126">
        <v>32707</v>
      </c>
      <c r="U32" s="126">
        <v>35707</v>
      </c>
      <c r="V32" s="126" t="s">
        <v>1005</v>
      </c>
      <c r="W32" s="129" t="s">
        <v>1044</v>
      </c>
      <c r="X32" t="s">
        <v>1045</v>
      </c>
      <c r="Y32" t="s">
        <v>644</v>
      </c>
      <c r="Z32" t="s">
        <v>645</v>
      </c>
    </row>
    <row r="33" spans="1:26" x14ac:dyDescent="0.3">
      <c r="A33" s="126" t="s">
        <v>1046</v>
      </c>
      <c r="B33" s="126" t="s">
        <v>887</v>
      </c>
      <c r="C33" s="54" t="s">
        <v>702</v>
      </c>
      <c r="D33" s="127" t="s">
        <v>703</v>
      </c>
      <c r="E33" s="126">
        <v>44900</v>
      </c>
      <c r="F33" s="126">
        <v>37</v>
      </c>
      <c r="G33" s="126">
        <v>1991</v>
      </c>
      <c r="H33" s="126" t="s">
        <v>630</v>
      </c>
      <c r="I33" s="126" t="s">
        <v>1047</v>
      </c>
      <c r="J33" s="126" t="s">
        <v>1048</v>
      </c>
      <c r="K33" s="126" t="s">
        <v>1049</v>
      </c>
      <c r="L33" s="126" t="s">
        <v>892</v>
      </c>
      <c r="M33" s="128" t="s">
        <v>1050</v>
      </c>
      <c r="N33" s="126" t="s">
        <v>894</v>
      </c>
      <c r="O33" s="128" t="s">
        <v>1051</v>
      </c>
      <c r="P33" s="126" t="s">
        <v>1052</v>
      </c>
      <c r="Q33" s="126" t="s">
        <v>1053</v>
      </c>
      <c r="R33" s="126" t="s">
        <v>1054</v>
      </c>
      <c r="S33" s="126">
        <v>3000</v>
      </c>
      <c r="T33" s="126">
        <v>55923</v>
      </c>
      <c r="U33" s="126">
        <v>58923</v>
      </c>
      <c r="V33" s="126" t="s">
        <v>817</v>
      </c>
      <c r="W33" s="129" t="s">
        <v>1055</v>
      </c>
      <c r="X33" t="s">
        <v>1056</v>
      </c>
      <c r="Y33" t="s">
        <v>644</v>
      </c>
      <c r="Z33" t="s">
        <v>645</v>
      </c>
    </row>
    <row r="34" spans="1:26" x14ac:dyDescent="0.3">
      <c r="A34" s="126" t="s">
        <v>1057</v>
      </c>
      <c r="B34" s="126" t="s">
        <v>887</v>
      </c>
      <c r="C34" s="54" t="s">
        <v>702</v>
      </c>
      <c r="D34" s="127" t="s">
        <v>703</v>
      </c>
      <c r="E34" s="126">
        <v>48400</v>
      </c>
      <c r="F34" s="126">
        <v>23</v>
      </c>
      <c r="G34" s="126">
        <v>3171</v>
      </c>
      <c r="H34" s="126" t="s">
        <v>630</v>
      </c>
      <c r="I34" s="126" t="s">
        <v>1058</v>
      </c>
      <c r="J34" s="126" t="s">
        <v>1059</v>
      </c>
      <c r="K34" s="126" t="s">
        <v>1060</v>
      </c>
      <c r="L34" s="126" t="s">
        <v>892</v>
      </c>
      <c r="M34" s="128" t="s">
        <v>1061</v>
      </c>
      <c r="N34" s="126" t="s">
        <v>894</v>
      </c>
      <c r="O34" s="128" t="s">
        <v>1062</v>
      </c>
      <c r="P34" s="126" t="s">
        <v>1063</v>
      </c>
      <c r="Q34" s="126" t="s">
        <v>1064</v>
      </c>
      <c r="R34" s="126" t="s">
        <v>1065</v>
      </c>
      <c r="S34" s="126">
        <v>3000</v>
      </c>
      <c r="T34" s="126">
        <v>8494</v>
      </c>
      <c r="U34" s="126">
        <v>11494</v>
      </c>
      <c r="V34" s="126" t="s">
        <v>1019</v>
      </c>
      <c r="W34" s="129" t="s">
        <v>1066</v>
      </c>
      <c r="X34" t="s">
        <v>1067</v>
      </c>
      <c r="Y34" t="s">
        <v>644</v>
      </c>
      <c r="Z34" t="s">
        <v>645</v>
      </c>
    </row>
    <row r="35" spans="1:26" x14ac:dyDescent="0.3">
      <c r="A35" s="126" t="s">
        <v>1068</v>
      </c>
      <c r="B35" s="126" t="s">
        <v>887</v>
      </c>
      <c r="C35" s="54" t="s">
        <v>702</v>
      </c>
      <c r="D35" s="127" t="s">
        <v>1069</v>
      </c>
      <c r="E35" s="126">
        <v>47350</v>
      </c>
      <c r="F35" s="126">
        <v>24</v>
      </c>
      <c r="G35" s="126">
        <v>2670</v>
      </c>
      <c r="H35" s="126" t="s">
        <v>630</v>
      </c>
      <c r="I35" s="126" t="s">
        <v>1070</v>
      </c>
      <c r="J35" s="126" t="s">
        <v>1071</v>
      </c>
      <c r="K35" s="126" t="s">
        <v>1072</v>
      </c>
      <c r="L35" s="126" t="s">
        <v>1000</v>
      </c>
      <c r="M35" s="128" t="s">
        <v>1073</v>
      </c>
      <c r="N35" s="126" t="s">
        <v>894</v>
      </c>
      <c r="O35" s="128" t="s">
        <v>1074</v>
      </c>
      <c r="P35" s="126" t="s">
        <v>1075</v>
      </c>
      <c r="Q35" s="126" t="s">
        <v>1076</v>
      </c>
      <c r="R35" s="126" t="s">
        <v>1077</v>
      </c>
      <c r="S35" s="126">
        <v>3000</v>
      </c>
      <c r="T35" s="126">
        <v>79037</v>
      </c>
      <c r="U35" s="126">
        <v>82037</v>
      </c>
      <c r="V35" s="126" t="s">
        <v>1078</v>
      </c>
      <c r="W35" s="129" t="s">
        <v>1079</v>
      </c>
      <c r="X35" t="s">
        <v>1080</v>
      </c>
      <c r="Y35" t="s">
        <v>644</v>
      </c>
      <c r="Z35" t="s">
        <v>645</v>
      </c>
    </row>
    <row r="36" spans="1:26" x14ac:dyDescent="0.3">
      <c r="A36" s="126" t="s">
        <v>1081</v>
      </c>
      <c r="B36" s="126" t="s">
        <v>887</v>
      </c>
      <c r="C36" s="54" t="s">
        <v>702</v>
      </c>
      <c r="D36" s="127" t="s">
        <v>1082</v>
      </c>
      <c r="E36" s="126">
        <v>56900</v>
      </c>
      <c r="F36" s="126">
        <v>24</v>
      </c>
      <c r="G36" s="126">
        <v>3021</v>
      </c>
      <c r="H36" s="126" t="s">
        <v>630</v>
      </c>
      <c r="I36" s="126" t="s">
        <v>1083</v>
      </c>
      <c r="J36" s="126" t="s">
        <v>1084</v>
      </c>
      <c r="K36" s="126" t="s">
        <v>1085</v>
      </c>
      <c r="L36" s="126" t="s">
        <v>1086</v>
      </c>
      <c r="M36" s="128" t="s">
        <v>1087</v>
      </c>
      <c r="N36" s="126" t="s">
        <v>894</v>
      </c>
      <c r="O36" s="128" t="s">
        <v>1088</v>
      </c>
      <c r="P36" s="1" t="s">
        <v>682</v>
      </c>
      <c r="Q36" s="126" t="s">
        <v>1089</v>
      </c>
      <c r="R36" s="126" t="s">
        <v>1090</v>
      </c>
      <c r="S36" s="126">
        <v>3000</v>
      </c>
      <c r="T36" s="126">
        <v>74597</v>
      </c>
      <c r="U36" s="126">
        <v>77597</v>
      </c>
      <c r="V36" s="126" t="s">
        <v>992</v>
      </c>
      <c r="W36" s="129" t="s">
        <v>1091</v>
      </c>
      <c r="X36" t="s">
        <v>1092</v>
      </c>
      <c r="Y36" t="s">
        <v>644</v>
      </c>
      <c r="Z36" t="s">
        <v>645</v>
      </c>
    </row>
    <row r="37" spans="1:26" x14ac:dyDescent="0.3">
      <c r="A37" s="126" t="s">
        <v>1093</v>
      </c>
      <c r="B37" s="126" t="s">
        <v>1094</v>
      </c>
      <c r="C37" s="54" t="s">
        <v>702</v>
      </c>
      <c r="D37" s="127" t="s">
        <v>1095</v>
      </c>
      <c r="E37" s="126">
        <v>41900</v>
      </c>
      <c r="F37" s="126">
        <v>24</v>
      </c>
      <c r="G37" s="126">
        <v>2270</v>
      </c>
      <c r="H37" s="126" t="s">
        <v>630</v>
      </c>
      <c r="I37" s="126" t="s">
        <v>1096</v>
      </c>
      <c r="J37" s="126" t="s">
        <v>1097</v>
      </c>
      <c r="K37" s="126" t="s">
        <v>1098</v>
      </c>
      <c r="L37" s="126" t="s">
        <v>1099</v>
      </c>
      <c r="M37" s="128" t="s">
        <v>1100</v>
      </c>
      <c r="N37" s="126" t="s">
        <v>894</v>
      </c>
      <c r="O37" s="128" t="s">
        <v>1101</v>
      </c>
      <c r="P37" s="126" t="s">
        <v>1102</v>
      </c>
      <c r="Q37" s="126" t="s">
        <v>1103</v>
      </c>
      <c r="R37" s="126" t="s">
        <v>1104</v>
      </c>
      <c r="S37" s="126">
        <v>3000</v>
      </c>
      <c r="T37" s="126">
        <v>47451</v>
      </c>
      <c r="U37" s="126">
        <v>50451</v>
      </c>
      <c r="V37" s="126" t="s">
        <v>1105</v>
      </c>
      <c r="W37" s="129" t="s">
        <v>1106</v>
      </c>
      <c r="X37" t="s">
        <v>1107</v>
      </c>
      <c r="Y37" t="s">
        <v>644</v>
      </c>
      <c r="Z37" t="s">
        <v>645</v>
      </c>
    </row>
    <row r="38" spans="1:26" x14ac:dyDescent="0.3">
      <c r="A38" s="126" t="s">
        <v>1108</v>
      </c>
      <c r="B38" s="126" t="s">
        <v>887</v>
      </c>
      <c r="C38" s="54" t="s">
        <v>702</v>
      </c>
      <c r="D38" s="127" t="s">
        <v>1109</v>
      </c>
      <c r="E38" s="126">
        <v>35980</v>
      </c>
      <c r="F38" s="126">
        <v>24</v>
      </c>
      <c r="G38" s="126">
        <v>1994</v>
      </c>
      <c r="H38" s="126" t="s">
        <v>630</v>
      </c>
      <c r="I38" s="126" t="s">
        <v>1110</v>
      </c>
      <c r="J38" s="126" t="s">
        <v>1111</v>
      </c>
      <c r="K38" s="126" t="s">
        <v>1112</v>
      </c>
      <c r="L38" s="126" t="s">
        <v>892</v>
      </c>
      <c r="M38" s="128" t="s">
        <v>1113</v>
      </c>
      <c r="N38" s="126" t="s">
        <v>894</v>
      </c>
      <c r="O38" s="128" t="s">
        <v>1114</v>
      </c>
      <c r="P38" s="126" t="s">
        <v>1115</v>
      </c>
      <c r="Q38" s="126" t="s">
        <v>1116</v>
      </c>
      <c r="R38" s="126" t="s">
        <v>1117</v>
      </c>
      <c r="S38" s="126">
        <v>3000</v>
      </c>
      <c r="T38" s="126">
        <v>85862</v>
      </c>
      <c r="U38" s="126">
        <v>88862</v>
      </c>
      <c r="V38" s="126" t="s">
        <v>805</v>
      </c>
      <c r="W38" s="129" t="s">
        <v>1118</v>
      </c>
      <c r="X38" t="s">
        <v>1119</v>
      </c>
      <c r="Y38" t="s">
        <v>644</v>
      </c>
      <c r="Z38" t="s">
        <v>645</v>
      </c>
    </row>
    <row r="39" spans="1:26" x14ac:dyDescent="0.3">
      <c r="A39" s="126" t="s">
        <v>1120</v>
      </c>
      <c r="B39" s="126" t="s">
        <v>887</v>
      </c>
      <c r="C39" s="54" t="s">
        <v>702</v>
      </c>
      <c r="D39" s="127" t="s">
        <v>1121</v>
      </c>
      <c r="E39" s="126">
        <v>53900</v>
      </c>
      <c r="F39" s="126">
        <v>33</v>
      </c>
      <c r="G39" s="126">
        <v>3032</v>
      </c>
      <c r="H39" s="126" t="s">
        <v>630</v>
      </c>
      <c r="I39" s="126" t="s">
        <v>1122</v>
      </c>
      <c r="J39" s="126" t="s">
        <v>1123</v>
      </c>
      <c r="K39" s="126" t="s">
        <v>1124</v>
      </c>
      <c r="L39" s="126" t="s">
        <v>1000</v>
      </c>
      <c r="M39" s="128" t="s">
        <v>1001</v>
      </c>
      <c r="N39" s="126" t="s">
        <v>894</v>
      </c>
      <c r="O39" s="128" t="s">
        <v>1125</v>
      </c>
      <c r="P39" s="1" t="s">
        <v>682</v>
      </c>
      <c r="Q39" s="126" t="s">
        <v>1126</v>
      </c>
      <c r="R39" s="126" t="s">
        <v>1127</v>
      </c>
      <c r="S39" s="126">
        <v>3000</v>
      </c>
      <c r="T39" s="126">
        <v>105862</v>
      </c>
      <c r="U39" s="126">
        <v>108862</v>
      </c>
      <c r="V39" s="126" t="s">
        <v>1019</v>
      </c>
      <c r="W39" s="129" t="s">
        <v>1128</v>
      </c>
      <c r="X39" t="s">
        <v>1129</v>
      </c>
      <c r="Y39" t="s">
        <v>644</v>
      </c>
      <c r="Z39" t="s">
        <v>645</v>
      </c>
    </row>
    <row r="40" spans="1:26" x14ac:dyDescent="0.3">
      <c r="A40" s="126" t="s">
        <v>1130</v>
      </c>
      <c r="B40" s="126" t="s">
        <v>887</v>
      </c>
      <c r="C40" s="54" t="s">
        <v>702</v>
      </c>
      <c r="D40" s="127" t="s">
        <v>1131</v>
      </c>
      <c r="E40" s="126">
        <v>63293</v>
      </c>
      <c r="F40" s="126">
        <v>41</v>
      </c>
      <c r="G40" s="126">
        <v>3297</v>
      </c>
      <c r="H40" s="126" t="s">
        <v>630</v>
      </c>
      <c r="I40" s="126" t="s">
        <v>1132</v>
      </c>
      <c r="J40" s="126" t="s">
        <v>1133</v>
      </c>
      <c r="K40" s="126" t="s">
        <v>1134</v>
      </c>
      <c r="L40" s="126" t="s">
        <v>1135</v>
      </c>
      <c r="M40" s="128" t="s">
        <v>1136</v>
      </c>
      <c r="N40" s="126" t="s">
        <v>894</v>
      </c>
      <c r="O40" s="128" t="s">
        <v>1137</v>
      </c>
      <c r="P40" s="126" t="s">
        <v>1138</v>
      </c>
      <c r="Q40" s="126" t="s">
        <v>1139</v>
      </c>
      <c r="R40" s="126" t="s">
        <v>1140</v>
      </c>
      <c r="S40" s="126">
        <v>3000</v>
      </c>
      <c r="T40" s="126">
        <v>79038</v>
      </c>
      <c r="U40" s="126">
        <v>82038</v>
      </c>
      <c r="V40" s="126" t="s">
        <v>1141</v>
      </c>
      <c r="W40" s="129" t="s">
        <v>1142</v>
      </c>
      <c r="X40" t="s">
        <v>1143</v>
      </c>
      <c r="Y40" t="s">
        <v>644</v>
      </c>
      <c r="Z40" t="s">
        <v>645</v>
      </c>
    </row>
    <row r="41" spans="1:26" x14ac:dyDescent="0.3">
      <c r="A41" s="126" t="s">
        <v>1144</v>
      </c>
      <c r="B41" s="126" t="s">
        <v>887</v>
      </c>
      <c r="C41" s="54" t="s">
        <v>702</v>
      </c>
      <c r="D41" s="127" t="s">
        <v>1145</v>
      </c>
      <c r="E41" s="126">
        <v>50000</v>
      </c>
      <c r="F41" s="126">
        <v>25</v>
      </c>
      <c r="G41" s="126">
        <v>2532</v>
      </c>
      <c r="H41" s="126" t="s">
        <v>630</v>
      </c>
      <c r="I41" s="126" t="s">
        <v>1146</v>
      </c>
      <c r="J41" s="126" t="s">
        <v>1147</v>
      </c>
      <c r="K41" s="126" t="s">
        <v>1148</v>
      </c>
      <c r="L41" s="126" t="s">
        <v>1149</v>
      </c>
      <c r="M41" s="128" t="s">
        <v>1150</v>
      </c>
      <c r="N41" s="126" t="s">
        <v>894</v>
      </c>
      <c r="O41" s="128" t="s">
        <v>1151</v>
      </c>
      <c r="P41" s="126" t="s">
        <v>1152</v>
      </c>
      <c r="Q41" s="126" t="s">
        <v>1153</v>
      </c>
      <c r="R41" s="126" t="s">
        <v>1154</v>
      </c>
      <c r="S41" s="126">
        <v>3000</v>
      </c>
      <c r="T41" s="126">
        <v>16286</v>
      </c>
      <c r="U41" s="126">
        <v>19286</v>
      </c>
      <c r="V41" s="126" t="s">
        <v>1105</v>
      </c>
      <c r="W41" s="129" t="s">
        <v>1155</v>
      </c>
      <c r="X41" t="s">
        <v>1156</v>
      </c>
      <c r="Y41" t="s">
        <v>644</v>
      </c>
      <c r="Z41" t="s">
        <v>645</v>
      </c>
    </row>
    <row r="42" spans="1:26" x14ac:dyDescent="0.3">
      <c r="A42" s="126" t="s">
        <v>1157</v>
      </c>
      <c r="B42" s="126" t="s">
        <v>887</v>
      </c>
      <c r="C42" s="54" t="s">
        <v>702</v>
      </c>
      <c r="D42" s="127" t="s">
        <v>914</v>
      </c>
      <c r="E42" s="126">
        <v>49900</v>
      </c>
      <c r="F42" s="126">
        <v>31</v>
      </c>
      <c r="G42" s="126">
        <v>2807</v>
      </c>
      <c r="H42" s="126" t="s">
        <v>630</v>
      </c>
      <c r="I42" s="126" t="s">
        <v>1158</v>
      </c>
      <c r="J42" s="126" t="s">
        <v>1159</v>
      </c>
      <c r="K42" s="126" t="s">
        <v>1160</v>
      </c>
      <c r="L42" s="126" t="s">
        <v>1161</v>
      </c>
      <c r="M42" s="128" t="s">
        <v>1162</v>
      </c>
      <c r="N42" s="126" t="s">
        <v>894</v>
      </c>
      <c r="O42" s="128" t="s">
        <v>1163</v>
      </c>
      <c r="P42" s="126" t="s">
        <v>1164</v>
      </c>
      <c r="Q42" s="126" t="s">
        <v>1165</v>
      </c>
      <c r="R42" s="126" t="s">
        <v>1166</v>
      </c>
      <c r="S42" s="126">
        <v>3000</v>
      </c>
      <c r="T42" s="126">
        <v>88597</v>
      </c>
      <c r="U42" s="126">
        <v>91597</v>
      </c>
      <c r="V42" s="126" t="s">
        <v>1141</v>
      </c>
      <c r="W42" s="129" t="s">
        <v>1167</v>
      </c>
      <c r="X42" t="s">
        <v>1168</v>
      </c>
      <c r="Y42" t="s">
        <v>644</v>
      </c>
      <c r="Z42" t="s">
        <v>645</v>
      </c>
    </row>
    <row r="43" spans="1:26" x14ac:dyDescent="0.3">
      <c r="A43" s="126" t="s">
        <v>1169</v>
      </c>
      <c r="B43" s="126" t="s">
        <v>887</v>
      </c>
      <c r="C43" s="54" t="s">
        <v>702</v>
      </c>
      <c r="D43" s="127" t="s">
        <v>1170</v>
      </c>
      <c r="E43" s="126">
        <v>36900</v>
      </c>
      <c r="F43" s="126">
        <v>24</v>
      </c>
      <c r="G43" s="126">
        <v>2223</v>
      </c>
      <c r="H43" s="126" t="s">
        <v>630</v>
      </c>
      <c r="I43" s="126" t="s">
        <v>1171</v>
      </c>
      <c r="J43" s="126" t="s">
        <v>1172</v>
      </c>
      <c r="K43" s="126" t="s">
        <v>1173</v>
      </c>
      <c r="L43" s="126" t="s">
        <v>1174</v>
      </c>
      <c r="M43" s="128" t="s">
        <v>1175</v>
      </c>
      <c r="N43" s="126" t="s">
        <v>894</v>
      </c>
      <c r="O43" s="128" t="s">
        <v>1176</v>
      </c>
      <c r="P43" s="126" t="s">
        <v>1177</v>
      </c>
      <c r="Q43" s="126" t="s">
        <v>1178</v>
      </c>
      <c r="R43" s="126" t="s">
        <v>1179</v>
      </c>
      <c r="S43" s="126">
        <v>3000</v>
      </c>
      <c r="T43" s="126">
        <v>88778</v>
      </c>
      <c r="U43" s="126">
        <v>91778</v>
      </c>
      <c r="V43" s="126" t="s">
        <v>817</v>
      </c>
      <c r="W43" s="129" t="s">
        <v>1180</v>
      </c>
      <c r="X43" t="s">
        <v>1181</v>
      </c>
      <c r="Y43" t="s">
        <v>644</v>
      </c>
      <c r="Z43" t="s">
        <v>645</v>
      </c>
    </row>
    <row r="44" spans="1:26" x14ac:dyDescent="0.3">
      <c r="A44" s="126" t="s">
        <v>1182</v>
      </c>
      <c r="B44" s="126" t="s">
        <v>93</v>
      </c>
      <c r="C44" s="54" t="s">
        <v>628</v>
      </c>
      <c r="D44" s="127" t="s">
        <v>1183</v>
      </c>
      <c r="E44" s="126">
        <v>98728</v>
      </c>
      <c r="F44" s="126">
        <v>51</v>
      </c>
      <c r="G44" s="126">
        <v>3512</v>
      </c>
      <c r="H44" s="126" t="s">
        <v>630</v>
      </c>
      <c r="I44" s="126" t="s">
        <v>1184</v>
      </c>
      <c r="J44" s="126" t="s">
        <v>1185</v>
      </c>
      <c r="K44" s="126" t="s">
        <v>1186</v>
      </c>
      <c r="L44" s="126" t="s">
        <v>1187</v>
      </c>
      <c r="M44" s="128" t="s">
        <v>1188</v>
      </c>
      <c r="N44" s="126" t="s">
        <v>894</v>
      </c>
      <c r="O44" s="128" t="s">
        <v>1189</v>
      </c>
      <c r="P44" s="126" t="s">
        <v>1190</v>
      </c>
      <c r="Q44" s="126" t="s">
        <v>1191</v>
      </c>
      <c r="R44" s="126" t="s">
        <v>1192</v>
      </c>
      <c r="S44" s="126">
        <v>3000</v>
      </c>
      <c r="T44" s="126">
        <v>102426</v>
      </c>
      <c r="U44" s="126">
        <v>105426</v>
      </c>
      <c r="V44" s="126" t="s">
        <v>1193</v>
      </c>
      <c r="W44" s="129" t="s">
        <v>1194</v>
      </c>
      <c r="X44" t="s">
        <v>1195</v>
      </c>
      <c r="Y44" t="s">
        <v>644</v>
      </c>
      <c r="Z44" t="s">
        <v>645</v>
      </c>
    </row>
    <row r="45" spans="1:26" x14ac:dyDescent="0.3">
      <c r="A45" s="126" t="s">
        <v>1196</v>
      </c>
      <c r="B45" s="126" t="s">
        <v>887</v>
      </c>
      <c r="C45" s="1" t="s">
        <v>682</v>
      </c>
      <c r="D45" s="127" t="s">
        <v>1197</v>
      </c>
      <c r="E45" s="126">
        <v>45500</v>
      </c>
      <c r="F45" s="126">
        <v>31</v>
      </c>
      <c r="G45" s="126">
        <v>2393</v>
      </c>
      <c r="H45" s="126" t="s">
        <v>630</v>
      </c>
      <c r="I45" s="126" t="s">
        <v>1198</v>
      </c>
      <c r="J45" s="126" t="s">
        <v>1199</v>
      </c>
      <c r="K45" s="126" t="s">
        <v>1200</v>
      </c>
      <c r="L45" s="126" t="s">
        <v>1000</v>
      </c>
      <c r="M45" s="128" t="s">
        <v>1201</v>
      </c>
      <c r="N45" s="126" t="s">
        <v>894</v>
      </c>
      <c r="O45" s="128" t="s">
        <v>1202</v>
      </c>
      <c r="P45" s="126" t="s">
        <v>1203</v>
      </c>
      <c r="Q45" s="126" t="s">
        <v>1204</v>
      </c>
      <c r="R45" s="126" t="s">
        <v>1205</v>
      </c>
      <c r="S45" s="126">
        <v>3000</v>
      </c>
      <c r="T45" s="126">
        <v>64128</v>
      </c>
      <c r="U45" s="126">
        <v>67128</v>
      </c>
      <c r="V45" s="126" t="s">
        <v>1005</v>
      </c>
      <c r="W45" s="129" t="s">
        <v>1206</v>
      </c>
      <c r="X45" t="s">
        <v>1207</v>
      </c>
      <c r="Y45" t="s">
        <v>644</v>
      </c>
      <c r="Z45" t="s">
        <v>645</v>
      </c>
    </row>
    <row r="46" spans="1:26" x14ac:dyDescent="0.3">
      <c r="A46" s="126" t="s">
        <v>1208</v>
      </c>
      <c r="B46" s="126" t="s">
        <v>953</v>
      </c>
      <c r="C46" s="54" t="s">
        <v>702</v>
      </c>
      <c r="D46" s="127" t="s">
        <v>1209</v>
      </c>
      <c r="E46" s="126">
        <v>60800</v>
      </c>
      <c r="F46" s="126">
        <v>41</v>
      </c>
      <c r="G46" s="126">
        <v>2396</v>
      </c>
      <c r="H46" s="126" t="s">
        <v>630</v>
      </c>
      <c r="I46" s="126" t="s">
        <v>1210</v>
      </c>
      <c r="J46" s="126" t="s">
        <v>1211</v>
      </c>
      <c r="K46" s="126" t="s">
        <v>1212</v>
      </c>
      <c r="L46" s="126" t="s">
        <v>1213</v>
      </c>
      <c r="M46" s="128" t="s">
        <v>1214</v>
      </c>
      <c r="N46" s="126" t="s">
        <v>894</v>
      </c>
      <c r="O46" s="128" t="s">
        <v>1215</v>
      </c>
      <c r="P46" s="1" t="s">
        <v>682</v>
      </c>
      <c r="Q46" s="126" t="s">
        <v>1216</v>
      </c>
      <c r="R46" s="126" t="s">
        <v>1217</v>
      </c>
      <c r="S46" s="126">
        <v>3000</v>
      </c>
      <c r="T46" s="126">
        <v>68148</v>
      </c>
      <c r="U46" s="126">
        <v>71148</v>
      </c>
      <c r="V46" s="126" t="s">
        <v>992</v>
      </c>
      <c r="W46" s="129" t="s">
        <v>1218</v>
      </c>
      <c r="X46" t="s">
        <v>1219</v>
      </c>
      <c r="Y46" t="s">
        <v>644</v>
      </c>
      <c r="Z46" t="s">
        <v>645</v>
      </c>
    </row>
    <row r="47" spans="1:26" x14ac:dyDescent="0.3">
      <c r="A47" s="126" t="s">
        <v>1220</v>
      </c>
      <c r="B47" s="126" t="s">
        <v>887</v>
      </c>
      <c r="C47" s="54" t="s">
        <v>702</v>
      </c>
      <c r="D47" s="127" t="s">
        <v>1221</v>
      </c>
      <c r="E47" s="126">
        <v>50900</v>
      </c>
      <c r="F47" s="126">
        <v>24</v>
      </c>
      <c r="G47" s="126">
        <v>2692</v>
      </c>
      <c r="H47" s="126" t="s">
        <v>630</v>
      </c>
      <c r="I47" s="126" t="s">
        <v>1222</v>
      </c>
      <c r="J47" s="126" t="s">
        <v>1223</v>
      </c>
      <c r="K47" s="126" t="s">
        <v>1224</v>
      </c>
      <c r="L47" s="126" t="s">
        <v>944</v>
      </c>
      <c r="M47" s="128" t="s">
        <v>1225</v>
      </c>
      <c r="N47" s="126" t="s">
        <v>894</v>
      </c>
      <c r="O47" s="128" t="s">
        <v>1226</v>
      </c>
      <c r="P47" s="126" t="s">
        <v>1227</v>
      </c>
      <c r="Q47" s="126" t="s">
        <v>1228</v>
      </c>
      <c r="R47" s="126" t="s">
        <v>1229</v>
      </c>
      <c r="S47" s="126">
        <v>3000</v>
      </c>
      <c r="T47" s="126">
        <v>51567</v>
      </c>
      <c r="U47" s="126">
        <v>54567</v>
      </c>
      <c r="V47" s="126" t="s">
        <v>1078</v>
      </c>
      <c r="W47" s="129" t="s">
        <v>1230</v>
      </c>
      <c r="X47" t="s">
        <v>1231</v>
      </c>
      <c r="Y47" t="s">
        <v>644</v>
      </c>
      <c r="Z47" t="s">
        <v>645</v>
      </c>
    </row>
    <row r="48" spans="1:26" x14ac:dyDescent="0.3">
      <c r="A48" s="126" t="s">
        <v>1232</v>
      </c>
      <c r="B48" s="126" t="s">
        <v>887</v>
      </c>
      <c r="C48" s="54" t="s">
        <v>702</v>
      </c>
      <c r="D48" s="127" t="s">
        <v>940</v>
      </c>
      <c r="E48" s="126">
        <v>46236</v>
      </c>
      <c r="F48" s="126">
        <v>29</v>
      </c>
      <c r="G48" s="126">
        <v>2476</v>
      </c>
      <c r="H48" s="126" t="s">
        <v>630</v>
      </c>
      <c r="I48" s="126" t="s">
        <v>1233</v>
      </c>
      <c r="J48" s="126" t="s">
        <v>1234</v>
      </c>
      <c r="K48" s="126" t="s">
        <v>1235</v>
      </c>
      <c r="L48" s="126" t="s">
        <v>1149</v>
      </c>
      <c r="M48" s="128" t="s">
        <v>1150</v>
      </c>
      <c r="N48" s="126" t="s">
        <v>894</v>
      </c>
      <c r="O48" s="128" t="s">
        <v>1236</v>
      </c>
      <c r="P48" s="126" t="s">
        <v>1237</v>
      </c>
      <c r="Q48" s="126" t="s">
        <v>1238</v>
      </c>
      <c r="R48" s="126" t="s">
        <v>1239</v>
      </c>
      <c r="S48" s="126">
        <v>3000</v>
      </c>
      <c r="T48" s="126">
        <v>50545</v>
      </c>
      <c r="U48" s="126">
        <v>53545</v>
      </c>
      <c r="V48" s="126" t="s">
        <v>817</v>
      </c>
      <c r="W48" s="129" t="s">
        <v>1240</v>
      </c>
      <c r="X48" t="s">
        <v>1241</v>
      </c>
      <c r="Y48" t="s">
        <v>644</v>
      </c>
      <c r="Z48" t="s">
        <v>645</v>
      </c>
    </row>
    <row r="49" spans="1:26" x14ac:dyDescent="0.3">
      <c r="A49" s="126" t="s">
        <v>1242</v>
      </c>
      <c r="B49" s="126" t="s">
        <v>93</v>
      </c>
      <c r="C49" s="54" t="s">
        <v>628</v>
      </c>
      <c r="D49" s="127" t="s">
        <v>1243</v>
      </c>
      <c r="E49" s="126">
        <v>97999</v>
      </c>
      <c r="F49" s="126">
        <v>50</v>
      </c>
      <c r="G49" s="126">
        <v>3866</v>
      </c>
      <c r="H49" s="126" t="s">
        <v>630</v>
      </c>
      <c r="I49" s="126" t="s">
        <v>1244</v>
      </c>
      <c r="J49" s="126" t="s">
        <v>1245</v>
      </c>
      <c r="K49" s="126" t="s">
        <v>1246</v>
      </c>
      <c r="L49" s="126" t="s">
        <v>1247</v>
      </c>
      <c r="M49" s="128" t="s">
        <v>1248</v>
      </c>
      <c r="N49" s="126" t="s">
        <v>894</v>
      </c>
      <c r="O49" s="128" t="s">
        <v>1249</v>
      </c>
      <c r="P49" s="126" t="s">
        <v>1250</v>
      </c>
      <c r="Q49" s="126" t="s">
        <v>1251</v>
      </c>
      <c r="R49" s="126" t="s">
        <v>1252</v>
      </c>
      <c r="S49" s="126">
        <v>3000</v>
      </c>
      <c r="T49" s="126">
        <v>103610</v>
      </c>
      <c r="U49" s="126">
        <v>106610</v>
      </c>
      <c r="V49" s="126" t="s">
        <v>728</v>
      </c>
      <c r="W49" s="129" t="s">
        <v>1253</v>
      </c>
      <c r="X49" t="s">
        <v>1254</v>
      </c>
      <c r="Y49" t="s">
        <v>644</v>
      </c>
      <c r="Z49" t="s">
        <v>645</v>
      </c>
    </row>
    <row r="50" spans="1:26" x14ac:dyDescent="0.3">
      <c r="A50" s="126" t="s">
        <v>1255</v>
      </c>
      <c r="B50" s="126" t="s">
        <v>887</v>
      </c>
      <c r="C50" s="54" t="s">
        <v>702</v>
      </c>
      <c r="D50" s="127" t="s">
        <v>1256</v>
      </c>
      <c r="E50" s="126">
        <v>46076</v>
      </c>
      <c r="F50" s="126">
        <v>24</v>
      </c>
      <c r="G50" s="126">
        <v>2400</v>
      </c>
      <c r="H50" s="126" t="s">
        <v>630</v>
      </c>
      <c r="I50" s="126" t="s">
        <v>1257</v>
      </c>
      <c r="J50" s="126" t="s">
        <v>1258</v>
      </c>
      <c r="K50" s="126" t="s">
        <v>1259</v>
      </c>
      <c r="L50" s="126" t="s">
        <v>1260</v>
      </c>
      <c r="M50" s="128" t="s">
        <v>1261</v>
      </c>
      <c r="N50" s="126" t="s">
        <v>894</v>
      </c>
      <c r="O50" s="128" t="s">
        <v>1262</v>
      </c>
      <c r="P50" s="126" t="s">
        <v>1263</v>
      </c>
      <c r="Q50" s="126" t="s">
        <v>1264</v>
      </c>
      <c r="R50" s="126" t="s">
        <v>1265</v>
      </c>
      <c r="S50" s="126">
        <v>3000</v>
      </c>
      <c r="T50" s="126">
        <v>99144</v>
      </c>
      <c r="U50" s="126">
        <v>102144</v>
      </c>
      <c r="V50" s="126" t="s">
        <v>817</v>
      </c>
      <c r="W50" s="129" t="s">
        <v>1266</v>
      </c>
      <c r="X50" t="s">
        <v>1267</v>
      </c>
      <c r="Y50" t="s">
        <v>644</v>
      </c>
      <c r="Z50" t="s">
        <v>645</v>
      </c>
    </row>
    <row r="51" spans="1:26" x14ac:dyDescent="0.3">
      <c r="A51" s="126" t="s">
        <v>1268</v>
      </c>
      <c r="B51" s="126" t="s">
        <v>887</v>
      </c>
      <c r="C51" s="54" t="s">
        <v>702</v>
      </c>
      <c r="D51" s="127" t="s">
        <v>1269</v>
      </c>
      <c r="E51" s="126">
        <v>57200</v>
      </c>
      <c r="F51" s="126">
        <v>24</v>
      </c>
      <c r="G51" s="126">
        <v>3046</v>
      </c>
      <c r="H51" s="126" t="s">
        <v>630</v>
      </c>
      <c r="I51" s="126" t="s">
        <v>1270</v>
      </c>
      <c r="J51" s="126" t="s">
        <v>1271</v>
      </c>
      <c r="K51" s="126" t="s">
        <v>1272</v>
      </c>
      <c r="L51" s="126" t="s">
        <v>1161</v>
      </c>
      <c r="M51" s="128" t="s">
        <v>1273</v>
      </c>
      <c r="N51" s="126" t="s">
        <v>894</v>
      </c>
      <c r="O51" s="128" t="s">
        <v>1274</v>
      </c>
      <c r="P51" s="126" t="s">
        <v>1275</v>
      </c>
      <c r="Q51" s="126" t="s">
        <v>1276</v>
      </c>
      <c r="R51" s="126" t="s">
        <v>1277</v>
      </c>
      <c r="S51" s="126">
        <v>3000</v>
      </c>
      <c r="T51" s="126">
        <v>32860</v>
      </c>
      <c r="U51" s="126">
        <v>35860</v>
      </c>
      <c r="V51" s="126" t="s">
        <v>1019</v>
      </c>
      <c r="W51" s="129" t="s">
        <v>1278</v>
      </c>
      <c r="X51" t="s">
        <v>1279</v>
      </c>
      <c r="Y51" t="s">
        <v>644</v>
      </c>
      <c r="Z51" t="s">
        <v>645</v>
      </c>
    </row>
    <row r="52" spans="1:26" x14ac:dyDescent="0.3">
      <c r="A52" s="126" t="s">
        <v>1280</v>
      </c>
      <c r="B52" s="126" t="s">
        <v>887</v>
      </c>
      <c r="C52" s="54" t="s">
        <v>702</v>
      </c>
      <c r="D52" s="127" t="s">
        <v>1281</v>
      </c>
      <c r="E52" s="126">
        <v>54900</v>
      </c>
      <c r="F52" s="126">
        <v>44</v>
      </c>
      <c r="G52" s="126">
        <v>2928</v>
      </c>
      <c r="H52" s="126" t="s">
        <v>630</v>
      </c>
      <c r="I52" s="126" t="s">
        <v>1282</v>
      </c>
      <c r="J52" s="126" t="s">
        <v>1283</v>
      </c>
      <c r="K52" s="126" t="s">
        <v>1284</v>
      </c>
      <c r="L52" s="126" t="s">
        <v>1285</v>
      </c>
      <c r="M52" s="128" t="s">
        <v>1286</v>
      </c>
      <c r="N52" s="126" t="s">
        <v>894</v>
      </c>
      <c r="O52" s="128" t="s">
        <v>1287</v>
      </c>
      <c r="P52" s="126" t="s">
        <v>1288</v>
      </c>
      <c r="Q52" s="126" t="s">
        <v>1289</v>
      </c>
      <c r="R52" s="126" t="s">
        <v>1290</v>
      </c>
      <c r="S52" s="126">
        <v>3000</v>
      </c>
      <c r="T52" s="126">
        <v>84146</v>
      </c>
      <c r="U52" s="126">
        <v>87146</v>
      </c>
      <c r="V52" s="126" t="s">
        <v>992</v>
      </c>
      <c r="W52" s="129" t="s">
        <v>1291</v>
      </c>
      <c r="X52" t="s">
        <v>1292</v>
      </c>
      <c r="Y52" t="s">
        <v>644</v>
      </c>
      <c r="Z52" t="s">
        <v>645</v>
      </c>
    </row>
    <row r="53" spans="1:26" x14ac:dyDescent="0.3">
      <c r="A53" s="126" t="s">
        <v>1293</v>
      </c>
      <c r="B53" s="126" t="s">
        <v>887</v>
      </c>
      <c r="C53" s="54" t="s">
        <v>702</v>
      </c>
      <c r="D53" s="127" t="s">
        <v>1294</v>
      </c>
      <c r="E53" s="126">
        <v>72400</v>
      </c>
      <c r="F53" s="126">
        <v>30</v>
      </c>
      <c r="G53" s="126">
        <v>3245</v>
      </c>
      <c r="H53" s="126" t="s">
        <v>630</v>
      </c>
      <c r="I53" s="126" t="s">
        <v>1295</v>
      </c>
      <c r="J53" s="126" t="s">
        <v>1296</v>
      </c>
      <c r="K53" s="126" t="s">
        <v>1297</v>
      </c>
      <c r="L53" s="126" t="s">
        <v>1298</v>
      </c>
      <c r="M53" s="128" t="s">
        <v>1299</v>
      </c>
      <c r="N53" s="126" t="s">
        <v>894</v>
      </c>
      <c r="O53" s="128" t="s">
        <v>1300</v>
      </c>
      <c r="P53" s="1" t="s">
        <v>682</v>
      </c>
      <c r="Q53" s="126" t="s">
        <v>1301</v>
      </c>
      <c r="R53" s="126" t="s">
        <v>1302</v>
      </c>
      <c r="S53" s="126">
        <v>3000</v>
      </c>
      <c r="T53" s="126">
        <v>102660</v>
      </c>
      <c r="U53" s="126">
        <v>105660</v>
      </c>
      <c r="V53" s="126" t="s">
        <v>1303</v>
      </c>
      <c r="W53" s="129" t="s">
        <v>1304</v>
      </c>
      <c r="X53" t="s">
        <v>1305</v>
      </c>
      <c r="Y53" t="s">
        <v>644</v>
      </c>
      <c r="Z53" t="s">
        <v>645</v>
      </c>
    </row>
    <row r="54" spans="1:26" x14ac:dyDescent="0.3">
      <c r="A54" s="126" t="s">
        <v>1306</v>
      </c>
      <c r="B54" s="126" t="s">
        <v>1307</v>
      </c>
      <c r="C54" s="54" t="s">
        <v>702</v>
      </c>
      <c r="D54" s="127" t="s">
        <v>1308</v>
      </c>
      <c r="E54" s="126">
        <v>71000</v>
      </c>
      <c r="F54" s="126">
        <v>30</v>
      </c>
      <c r="G54" s="126">
        <v>3213</v>
      </c>
      <c r="H54" s="126" t="s">
        <v>630</v>
      </c>
      <c r="I54" s="126" t="s">
        <v>1309</v>
      </c>
      <c r="J54" s="126" t="s">
        <v>1310</v>
      </c>
      <c r="K54" s="126" t="s">
        <v>1311</v>
      </c>
      <c r="L54" s="126" t="s">
        <v>1312</v>
      </c>
      <c r="M54" s="128" t="s">
        <v>1313</v>
      </c>
      <c r="N54" s="126" t="s">
        <v>894</v>
      </c>
      <c r="O54" s="128" t="s">
        <v>1314</v>
      </c>
      <c r="P54" s="126" t="s">
        <v>1315</v>
      </c>
      <c r="Q54" s="126" t="s">
        <v>1316</v>
      </c>
      <c r="R54" s="126" t="s">
        <v>1317</v>
      </c>
      <c r="S54" s="126">
        <v>3000</v>
      </c>
      <c r="T54" s="126">
        <v>165557</v>
      </c>
      <c r="U54" s="126">
        <v>168557</v>
      </c>
      <c r="V54" s="126" t="s">
        <v>1318</v>
      </c>
      <c r="W54" s="129" t="s">
        <v>1319</v>
      </c>
      <c r="X54" t="s">
        <v>1320</v>
      </c>
      <c r="Y54" t="s">
        <v>644</v>
      </c>
      <c r="Z54" t="s">
        <v>645</v>
      </c>
    </row>
    <row r="55" spans="1:26" x14ac:dyDescent="0.3">
      <c r="A55" s="126" t="s">
        <v>1321</v>
      </c>
      <c r="B55" s="126" t="s">
        <v>93</v>
      </c>
      <c r="C55" s="54" t="s">
        <v>702</v>
      </c>
      <c r="D55" s="127" t="s">
        <v>1322</v>
      </c>
      <c r="E55" s="126">
        <v>66200</v>
      </c>
      <c r="F55" s="126">
        <v>24</v>
      </c>
      <c r="G55" s="126">
        <v>3501</v>
      </c>
      <c r="H55" s="126" t="s">
        <v>630</v>
      </c>
      <c r="I55" s="126" t="s">
        <v>1323</v>
      </c>
      <c r="J55" s="126" t="s">
        <v>1324</v>
      </c>
      <c r="K55" s="126" t="s">
        <v>1325</v>
      </c>
      <c r="L55" s="126" t="s">
        <v>1326</v>
      </c>
      <c r="M55" s="128" t="s">
        <v>1327</v>
      </c>
      <c r="N55" s="126" t="s">
        <v>894</v>
      </c>
      <c r="O55" s="128" t="s">
        <v>1328</v>
      </c>
      <c r="P55" s="126" t="s">
        <v>1329</v>
      </c>
      <c r="Q55" s="126" t="s">
        <v>1330</v>
      </c>
      <c r="R55" s="126" t="s">
        <v>1331</v>
      </c>
      <c r="S55" s="126">
        <v>3000</v>
      </c>
      <c r="T55" s="126">
        <v>71352</v>
      </c>
      <c r="U55" s="126">
        <v>74352</v>
      </c>
      <c r="V55" s="126" t="s">
        <v>768</v>
      </c>
      <c r="W55" s="129" t="s">
        <v>1332</v>
      </c>
      <c r="X55" t="s">
        <v>1333</v>
      </c>
      <c r="Y55" t="s">
        <v>644</v>
      </c>
      <c r="Z55" t="s">
        <v>645</v>
      </c>
    </row>
    <row r="56" spans="1:26" x14ac:dyDescent="0.3">
      <c r="A56" s="126" t="s">
        <v>1334</v>
      </c>
      <c r="B56" s="126" t="s">
        <v>93</v>
      </c>
      <c r="C56" s="54" t="s">
        <v>1335</v>
      </c>
      <c r="D56" s="127" t="s">
        <v>1336</v>
      </c>
      <c r="E56" s="126">
        <v>62000</v>
      </c>
      <c r="F56" s="126">
        <v>24</v>
      </c>
      <c r="G56" s="126">
        <v>3271</v>
      </c>
      <c r="H56" s="126" t="s">
        <v>630</v>
      </c>
      <c r="I56" s="126" t="s">
        <v>1337</v>
      </c>
      <c r="J56" s="126" t="s">
        <v>1338</v>
      </c>
      <c r="K56" s="126" t="s">
        <v>1339</v>
      </c>
      <c r="L56" s="126" t="s">
        <v>1013</v>
      </c>
      <c r="M56" s="128" t="s">
        <v>1340</v>
      </c>
      <c r="N56" s="126" t="s">
        <v>894</v>
      </c>
      <c r="O56" s="128" t="s">
        <v>1341</v>
      </c>
      <c r="P56" s="126" t="s">
        <v>1342</v>
      </c>
      <c r="Q56" s="126" t="s">
        <v>1343</v>
      </c>
      <c r="R56" s="126" t="s">
        <v>1344</v>
      </c>
      <c r="S56" s="126">
        <v>3000</v>
      </c>
      <c r="T56" s="126">
        <v>69312</v>
      </c>
      <c r="U56" s="126">
        <v>72312</v>
      </c>
      <c r="V56" s="126" t="s">
        <v>1345</v>
      </c>
      <c r="W56" s="129" t="s">
        <v>1346</v>
      </c>
      <c r="X56" t="s">
        <v>1347</v>
      </c>
      <c r="Y56" t="s">
        <v>644</v>
      </c>
      <c r="Z56" t="s">
        <v>645</v>
      </c>
    </row>
    <row r="57" spans="1:26" x14ac:dyDescent="0.3">
      <c r="A57" s="126" t="s">
        <v>1348</v>
      </c>
      <c r="B57" s="126" t="s">
        <v>887</v>
      </c>
      <c r="C57" s="54" t="s">
        <v>702</v>
      </c>
      <c r="D57" s="127" t="s">
        <v>1281</v>
      </c>
      <c r="E57" s="126">
        <v>56897</v>
      </c>
      <c r="F57" s="126">
        <v>43</v>
      </c>
      <c r="G57" s="126">
        <v>2340</v>
      </c>
      <c r="H57" s="126" t="s">
        <v>630</v>
      </c>
      <c r="I57" s="126" t="s">
        <v>1349</v>
      </c>
      <c r="J57" s="126" t="s">
        <v>1350</v>
      </c>
      <c r="K57" s="126" t="s">
        <v>1351</v>
      </c>
      <c r="L57" s="126" t="s">
        <v>1000</v>
      </c>
      <c r="M57" s="128" t="s">
        <v>1352</v>
      </c>
      <c r="N57" s="126" t="s">
        <v>894</v>
      </c>
      <c r="O57" s="128" t="s">
        <v>1353</v>
      </c>
      <c r="P57" s="126" t="s">
        <v>1354</v>
      </c>
      <c r="Q57" s="126" t="s">
        <v>1355</v>
      </c>
      <c r="R57" s="126" t="s">
        <v>1356</v>
      </c>
      <c r="S57" s="126">
        <v>3000</v>
      </c>
      <c r="T57" s="126">
        <v>77094</v>
      </c>
      <c r="U57" s="126">
        <v>80094</v>
      </c>
      <c r="V57" s="126" t="s">
        <v>1019</v>
      </c>
      <c r="W57" s="129" t="s">
        <v>1357</v>
      </c>
      <c r="X57" t="s">
        <v>1358</v>
      </c>
      <c r="Y57" t="s">
        <v>644</v>
      </c>
      <c r="Z57" t="s">
        <v>645</v>
      </c>
    </row>
    <row r="58" spans="1:26" x14ac:dyDescent="0.3">
      <c r="A58" s="126" t="s">
        <v>1359</v>
      </c>
      <c r="B58" s="126" t="s">
        <v>953</v>
      </c>
      <c r="C58" s="54" t="s">
        <v>628</v>
      </c>
      <c r="D58" s="127" t="s">
        <v>1360</v>
      </c>
      <c r="E58" s="126">
        <v>103740</v>
      </c>
      <c r="F58" s="126">
        <v>30</v>
      </c>
      <c r="G58" s="126">
        <v>4486</v>
      </c>
      <c r="H58" s="126" t="s">
        <v>630</v>
      </c>
      <c r="I58" s="126" t="s">
        <v>1361</v>
      </c>
      <c r="J58" s="126" t="s">
        <v>1362</v>
      </c>
      <c r="K58" s="126" t="s">
        <v>1363</v>
      </c>
      <c r="L58" s="126" t="s">
        <v>958</v>
      </c>
      <c r="M58" s="128" t="s">
        <v>1364</v>
      </c>
      <c r="N58" s="126" t="s">
        <v>894</v>
      </c>
      <c r="O58" s="128" t="s">
        <v>1365</v>
      </c>
      <c r="P58" s="126" t="s">
        <v>1366</v>
      </c>
      <c r="Q58" s="126" t="s">
        <v>1367</v>
      </c>
      <c r="R58" s="126" t="s">
        <v>1368</v>
      </c>
      <c r="S58" s="126">
        <v>3000</v>
      </c>
      <c r="T58" s="126">
        <v>84312</v>
      </c>
      <c r="U58" s="126">
        <v>87312</v>
      </c>
      <c r="V58" s="126" t="s">
        <v>1369</v>
      </c>
      <c r="W58" s="129" t="s">
        <v>1370</v>
      </c>
      <c r="X58" t="s">
        <v>1371</v>
      </c>
      <c r="Y58" t="s">
        <v>644</v>
      </c>
      <c r="Z58" t="s">
        <v>645</v>
      </c>
    </row>
    <row r="59" spans="1:26" x14ac:dyDescent="0.3">
      <c r="A59" s="126" t="s">
        <v>1372</v>
      </c>
      <c r="B59" s="126" t="s">
        <v>953</v>
      </c>
      <c r="C59" s="54" t="s">
        <v>628</v>
      </c>
      <c r="D59" s="127" t="s">
        <v>1373</v>
      </c>
      <c r="E59" s="126">
        <v>56899</v>
      </c>
      <c r="F59" s="126">
        <v>24</v>
      </c>
      <c r="G59" s="126">
        <v>2883</v>
      </c>
      <c r="H59" s="126" t="s">
        <v>630</v>
      </c>
      <c r="I59" s="126" t="s">
        <v>1374</v>
      </c>
      <c r="J59" s="126" t="s">
        <v>1375</v>
      </c>
      <c r="K59" s="126" t="s">
        <v>1376</v>
      </c>
      <c r="L59" s="126" t="s">
        <v>1377</v>
      </c>
      <c r="M59" s="128" t="s">
        <v>1378</v>
      </c>
      <c r="N59" s="126" t="s">
        <v>894</v>
      </c>
      <c r="O59" s="128" t="s">
        <v>1379</v>
      </c>
      <c r="P59" s="126" t="s">
        <v>1380</v>
      </c>
      <c r="Q59" s="126" t="s">
        <v>1381</v>
      </c>
      <c r="R59" s="126" t="s">
        <v>1382</v>
      </c>
      <c r="S59" s="126">
        <v>3000</v>
      </c>
      <c r="T59" s="126">
        <v>38474</v>
      </c>
      <c r="U59" s="126">
        <v>41474</v>
      </c>
      <c r="V59" s="126" t="s">
        <v>1345</v>
      </c>
      <c r="W59" s="129" t="s">
        <v>1383</v>
      </c>
      <c r="X59" t="s">
        <v>1384</v>
      </c>
      <c r="Y59" t="s">
        <v>644</v>
      </c>
      <c r="Z59" t="s">
        <v>645</v>
      </c>
    </row>
    <row r="60" spans="1:26" x14ac:dyDescent="0.3">
      <c r="A60" s="126" t="s">
        <v>1385</v>
      </c>
      <c r="B60" s="126" t="s">
        <v>887</v>
      </c>
      <c r="C60" s="54" t="s">
        <v>702</v>
      </c>
      <c r="D60" s="127" t="s">
        <v>1386</v>
      </c>
      <c r="E60" s="126">
        <v>55000</v>
      </c>
      <c r="F60" s="126">
        <v>47</v>
      </c>
      <c r="G60" s="126">
        <v>2831</v>
      </c>
      <c r="H60" s="126" t="s">
        <v>630</v>
      </c>
      <c r="I60" s="126" t="s">
        <v>1387</v>
      </c>
      <c r="J60" s="126" t="s">
        <v>1388</v>
      </c>
      <c r="K60" s="126" t="s">
        <v>1389</v>
      </c>
      <c r="L60" s="126" t="s">
        <v>1390</v>
      </c>
      <c r="M60" s="128" t="s">
        <v>1391</v>
      </c>
      <c r="N60" s="126" t="s">
        <v>894</v>
      </c>
      <c r="O60" s="128" t="s">
        <v>1392</v>
      </c>
      <c r="P60" s="126" t="s">
        <v>1393</v>
      </c>
      <c r="Q60" s="126" t="s">
        <v>1394</v>
      </c>
      <c r="R60" s="126" t="s">
        <v>1395</v>
      </c>
      <c r="S60" s="126">
        <v>3000</v>
      </c>
      <c r="T60" s="126">
        <v>77948</v>
      </c>
      <c r="U60" s="126">
        <v>80948</v>
      </c>
      <c r="V60" s="126" t="s">
        <v>1105</v>
      </c>
      <c r="W60" s="129" t="s">
        <v>1396</v>
      </c>
      <c r="X60" t="s">
        <v>1397</v>
      </c>
      <c r="Y60" t="s">
        <v>644</v>
      </c>
      <c r="Z60" t="s">
        <v>645</v>
      </c>
    </row>
    <row r="61" spans="1:26" x14ac:dyDescent="0.3">
      <c r="A61" s="126" t="s">
        <v>1398</v>
      </c>
      <c r="B61" s="126" t="s">
        <v>887</v>
      </c>
      <c r="C61" s="1" t="s">
        <v>682</v>
      </c>
      <c r="D61" s="127" t="s">
        <v>1399</v>
      </c>
      <c r="E61" s="126">
        <v>54500</v>
      </c>
      <c r="F61" s="126">
        <v>28</v>
      </c>
      <c r="G61" s="126">
        <v>2794</v>
      </c>
      <c r="H61" s="126" t="s">
        <v>630</v>
      </c>
      <c r="I61" s="126" t="s">
        <v>1400</v>
      </c>
      <c r="J61" s="126" t="s">
        <v>1401</v>
      </c>
      <c r="K61" s="126" t="s">
        <v>1402</v>
      </c>
      <c r="L61" s="126" t="s">
        <v>1000</v>
      </c>
      <c r="M61" s="128" t="s">
        <v>1403</v>
      </c>
      <c r="N61" s="126" t="s">
        <v>894</v>
      </c>
      <c r="O61" s="128" t="s">
        <v>1404</v>
      </c>
      <c r="P61" s="126" t="s">
        <v>1405</v>
      </c>
      <c r="Q61" s="126" t="s">
        <v>1406</v>
      </c>
      <c r="R61" s="126" t="s">
        <v>1407</v>
      </c>
      <c r="S61" s="126">
        <v>3000</v>
      </c>
      <c r="T61" s="126">
        <v>37819</v>
      </c>
      <c r="U61" s="126">
        <v>40819</v>
      </c>
      <c r="V61" s="126" t="s">
        <v>1105</v>
      </c>
      <c r="W61" s="129" t="s">
        <v>1408</v>
      </c>
      <c r="X61" t="s">
        <v>1409</v>
      </c>
      <c r="Y61" t="s">
        <v>644</v>
      </c>
      <c r="Z61" t="s">
        <v>645</v>
      </c>
    </row>
    <row r="62" spans="1:26" x14ac:dyDescent="0.3">
      <c r="A62" s="126" t="s">
        <v>1410</v>
      </c>
      <c r="B62" s="126" t="s">
        <v>1094</v>
      </c>
      <c r="C62" s="1" t="s">
        <v>682</v>
      </c>
      <c r="D62" s="127" t="s">
        <v>1411</v>
      </c>
      <c r="E62" s="126">
        <v>81949</v>
      </c>
      <c r="F62" s="126">
        <v>30</v>
      </c>
      <c r="G62" s="126">
        <v>3483</v>
      </c>
      <c r="H62" s="126" t="s">
        <v>630</v>
      </c>
      <c r="I62" s="126" t="s">
        <v>1412</v>
      </c>
      <c r="J62" s="126" t="s">
        <v>1413</v>
      </c>
      <c r="K62" s="126" t="s">
        <v>1414</v>
      </c>
      <c r="L62" s="126" t="s">
        <v>1415</v>
      </c>
      <c r="M62" s="128" t="s">
        <v>1416</v>
      </c>
      <c r="N62" s="126" t="s">
        <v>894</v>
      </c>
      <c r="O62" s="128" t="s">
        <v>1417</v>
      </c>
      <c r="P62" s="1" t="s">
        <v>682</v>
      </c>
      <c r="Q62" s="126" t="s">
        <v>1418</v>
      </c>
      <c r="R62" s="126" t="s">
        <v>1419</v>
      </c>
      <c r="S62" s="126">
        <v>3000</v>
      </c>
      <c r="T62" s="126">
        <v>102825</v>
      </c>
      <c r="U62" s="126">
        <v>105825</v>
      </c>
      <c r="V62" s="126" t="s">
        <v>1420</v>
      </c>
      <c r="W62" s="129" t="s">
        <v>1421</v>
      </c>
      <c r="X62" t="s">
        <v>1422</v>
      </c>
      <c r="Y62" t="s">
        <v>644</v>
      </c>
      <c r="Z62" t="s">
        <v>645</v>
      </c>
    </row>
    <row r="63" spans="1:26" x14ac:dyDescent="0.3">
      <c r="A63" s="126" t="s">
        <v>1423</v>
      </c>
      <c r="B63" s="126" t="s">
        <v>93</v>
      </c>
      <c r="C63" s="54" t="s">
        <v>628</v>
      </c>
      <c r="D63" s="127" t="s">
        <v>834</v>
      </c>
      <c r="E63" s="126">
        <v>66500</v>
      </c>
      <c r="F63" s="126">
        <v>24</v>
      </c>
      <c r="G63" s="126">
        <v>3270</v>
      </c>
      <c r="H63" s="126" t="s">
        <v>630</v>
      </c>
      <c r="I63" s="126" t="s">
        <v>1424</v>
      </c>
      <c r="J63" s="126" t="s">
        <v>1425</v>
      </c>
      <c r="K63" s="126" t="s">
        <v>1426</v>
      </c>
      <c r="L63" s="126" t="s">
        <v>1427</v>
      </c>
      <c r="M63" s="128" t="s">
        <v>1428</v>
      </c>
      <c r="N63" s="126" t="s">
        <v>894</v>
      </c>
      <c r="O63" s="128" t="s">
        <v>1429</v>
      </c>
      <c r="P63" s="126" t="s">
        <v>1430</v>
      </c>
      <c r="Q63" s="126" t="s">
        <v>1431</v>
      </c>
      <c r="R63" s="126" t="s">
        <v>1432</v>
      </c>
      <c r="S63" s="126">
        <v>3000</v>
      </c>
      <c r="T63" s="126">
        <v>42603</v>
      </c>
      <c r="U63" s="126">
        <v>45603</v>
      </c>
      <c r="V63" s="126" t="s">
        <v>870</v>
      </c>
      <c r="W63" s="129" t="s">
        <v>1433</v>
      </c>
      <c r="X63" t="s">
        <v>1434</v>
      </c>
      <c r="Y63" t="s">
        <v>644</v>
      </c>
      <c r="Z63" t="s">
        <v>645</v>
      </c>
    </row>
    <row r="64" spans="1:26" x14ac:dyDescent="0.3">
      <c r="A64" s="126" t="s">
        <v>1435</v>
      </c>
      <c r="B64" s="126" t="s">
        <v>1307</v>
      </c>
      <c r="C64" s="54" t="s">
        <v>702</v>
      </c>
      <c r="D64" s="127" t="s">
        <v>1436</v>
      </c>
      <c r="E64" s="126">
        <v>48900</v>
      </c>
      <c r="F64" s="126">
        <v>36</v>
      </c>
      <c r="G64" s="126">
        <v>2043</v>
      </c>
      <c r="H64" s="126" t="s">
        <v>630</v>
      </c>
      <c r="I64" s="126" t="s">
        <v>1437</v>
      </c>
      <c r="J64" s="126" t="s">
        <v>1438</v>
      </c>
      <c r="K64" s="126" t="s">
        <v>1439</v>
      </c>
      <c r="L64" s="126" t="s">
        <v>1440</v>
      </c>
      <c r="M64" s="128" t="s">
        <v>1441</v>
      </c>
      <c r="N64" s="126" t="s">
        <v>894</v>
      </c>
      <c r="O64" s="128" t="s">
        <v>1442</v>
      </c>
      <c r="P64" s="126" t="s">
        <v>1443</v>
      </c>
      <c r="Q64" s="126" t="s">
        <v>1444</v>
      </c>
      <c r="R64" s="126" t="s">
        <v>1445</v>
      </c>
      <c r="S64" s="126">
        <v>3000</v>
      </c>
      <c r="T64" s="126">
        <v>37943</v>
      </c>
      <c r="U64" s="126">
        <v>40943</v>
      </c>
      <c r="V64" s="126" t="s">
        <v>1446</v>
      </c>
      <c r="W64" s="129" t="s">
        <v>1447</v>
      </c>
      <c r="X64" t="s">
        <v>1448</v>
      </c>
      <c r="Y64" t="s">
        <v>644</v>
      </c>
      <c r="Z64" t="s">
        <v>645</v>
      </c>
    </row>
    <row r="65" spans="1:26" x14ac:dyDescent="0.3">
      <c r="A65" s="126" t="s">
        <v>1449</v>
      </c>
      <c r="B65" s="126" t="s">
        <v>887</v>
      </c>
      <c r="C65" s="54" t="s">
        <v>702</v>
      </c>
      <c r="D65" s="127" t="s">
        <v>1450</v>
      </c>
      <c r="E65" s="126">
        <v>46399</v>
      </c>
      <c r="F65" s="126">
        <v>29</v>
      </c>
      <c r="G65" s="126">
        <v>2161</v>
      </c>
      <c r="H65" s="126" t="s">
        <v>630</v>
      </c>
      <c r="I65" s="126" t="s">
        <v>1451</v>
      </c>
      <c r="J65" s="126" t="s">
        <v>1452</v>
      </c>
      <c r="K65" s="126" t="s">
        <v>1453</v>
      </c>
      <c r="L65" s="126" t="s">
        <v>1000</v>
      </c>
      <c r="M65" s="128" t="s">
        <v>1352</v>
      </c>
      <c r="N65" s="126" t="s">
        <v>894</v>
      </c>
      <c r="O65" s="128" t="s">
        <v>1454</v>
      </c>
      <c r="P65" s="126" t="s">
        <v>1455</v>
      </c>
      <c r="Q65" s="126" t="s">
        <v>1456</v>
      </c>
      <c r="R65" s="126" t="s">
        <v>1457</v>
      </c>
      <c r="S65" s="126">
        <v>3000</v>
      </c>
      <c r="T65" s="126">
        <v>44658</v>
      </c>
      <c r="U65" s="126">
        <v>47658</v>
      </c>
      <c r="V65" s="126" t="s">
        <v>1078</v>
      </c>
      <c r="W65" s="129" t="s">
        <v>1458</v>
      </c>
      <c r="X65" t="s">
        <v>1459</v>
      </c>
      <c r="Y65" t="s">
        <v>644</v>
      </c>
      <c r="Z65" t="s">
        <v>645</v>
      </c>
    </row>
    <row r="66" spans="1:26" x14ac:dyDescent="0.3">
      <c r="A66" s="126" t="s">
        <v>1460</v>
      </c>
      <c r="B66" s="126" t="s">
        <v>887</v>
      </c>
      <c r="C66" s="54" t="s">
        <v>702</v>
      </c>
      <c r="D66" s="127" t="s">
        <v>1461</v>
      </c>
      <c r="E66" s="126">
        <v>60599</v>
      </c>
      <c r="F66" s="126">
        <v>24</v>
      </c>
      <c r="G66" s="126">
        <v>3328</v>
      </c>
      <c r="H66" s="126" t="s">
        <v>630</v>
      </c>
      <c r="I66" s="126" t="s">
        <v>1462</v>
      </c>
      <c r="J66" s="126" t="s">
        <v>1463</v>
      </c>
      <c r="K66" s="126" t="s">
        <v>1464</v>
      </c>
      <c r="L66" s="126" t="s">
        <v>1465</v>
      </c>
      <c r="M66" s="128" t="s">
        <v>1466</v>
      </c>
      <c r="N66" s="126" t="s">
        <v>894</v>
      </c>
      <c r="O66" s="128" t="s">
        <v>1467</v>
      </c>
      <c r="P66" s="126" t="s">
        <v>1468</v>
      </c>
      <c r="Q66" s="126" t="s">
        <v>1469</v>
      </c>
      <c r="R66" s="126" t="s">
        <v>1470</v>
      </c>
      <c r="S66" s="126">
        <v>3000</v>
      </c>
      <c r="T66" s="126">
        <v>71813</v>
      </c>
      <c r="U66" s="126">
        <v>74813</v>
      </c>
      <c r="V66" s="126" t="s">
        <v>1345</v>
      </c>
      <c r="W66" s="129" t="s">
        <v>1471</v>
      </c>
      <c r="X66" t="s">
        <v>1472</v>
      </c>
      <c r="Y66" t="s">
        <v>644</v>
      </c>
      <c r="Z66" t="s">
        <v>645</v>
      </c>
    </row>
    <row r="67" spans="1:26" x14ac:dyDescent="0.3">
      <c r="A67" s="126" t="s">
        <v>1473</v>
      </c>
      <c r="B67" s="126" t="s">
        <v>93</v>
      </c>
      <c r="C67" s="54" t="s">
        <v>628</v>
      </c>
      <c r="D67" s="127" t="s">
        <v>1474</v>
      </c>
      <c r="E67" s="126">
        <v>46000</v>
      </c>
      <c r="F67" s="126">
        <v>24</v>
      </c>
      <c r="G67" s="126">
        <v>2414</v>
      </c>
      <c r="H67" s="126" t="s">
        <v>630</v>
      </c>
      <c r="I67" s="126" t="s">
        <v>1475</v>
      </c>
      <c r="J67" s="126" t="s">
        <v>1476</v>
      </c>
      <c r="K67" s="126" t="s">
        <v>1477</v>
      </c>
      <c r="L67" s="126" t="s">
        <v>1478</v>
      </c>
      <c r="M67" s="128" t="s">
        <v>1479</v>
      </c>
      <c r="N67" s="126" t="s">
        <v>894</v>
      </c>
      <c r="O67" s="128" t="s">
        <v>1480</v>
      </c>
      <c r="P67" s="126" t="s">
        <v>1481</v>
      </c>
      <c r="Q67" s="126" t="s">
        <v>1482</v>
      </c>
      <c r="R67" s="126" t="s">
        <v>1483</v>
      </c>
      <c r="S67" s="126">
        <v>3000</v>
      </c>
      <c r="T67" s="126">
        <v>100447</v>
      </c>
      <c r="U67" s="126">
        <v>103447</v>
      </c>
      <c r="V67" s="126" t="s">
        <v>805</v>
      </c>
      <c r="W67" s="129" t="s">
        <v>1484</v>
      </c>
      <c r="X67" t="s">
        <v>1485</v>
      </c>
      <c r="Y67" t="s">
        <v>644</v>
      </c>
      <c r="Z67" t="s">
        <v>645</v>
      </c>
    </row>
    <row r="68" spans="1:26" x14ac:dyDescent="0.3">
      <c r="A68" s="126" t="s">
        <v>1486</v>
      </c>
      <c r="B68" s="126" t="s">
        <v>89</v>
      </c>
      <c r="C68" s="54" t="s">
        <v>702</v>
      </c>
      <c r="D68" s="127" t="s">
        <v>1487</v>
      </c>
      <c r="E68" s="126">
        <v>62600</v>
      </c>
      <c r="F68" s="126">
        <v>40</v>
      </c>
      <c r="G68" s="126">
        <v>2402</v>
      </c>
      <c r="H68" s="126" t="s">
        <v>630</v>
      </c>
      <c r="I68" s="126" t="s">
        <v>1488</v>
      </c>
      <c r="J68" s="126" t="s">
        <v>1489</v>
      </c>
      <c r="K68" s="126" t="s">
        <v>1490</v>
      </c>
      <c r="L68" s="126" t="s">
        <v>1491</v>
      </c>
      <c r="M68" s="128" t="s">
        <v>1492</v>
      </c>
      <c r="N68" s="126" t="s">
        <v>894</v>
      </c>
      <c r="O68" s="128" t="s">
        <v>1493</v>
      </c>
      <c r="P68" s="126" t="s">
        <v>1494</v>
      </c>
      <c r="Q68" s="126" t="s">
        <v>1495</v>
      </c>
      <c r="R68" s="126" t="s">
        <v>1496</v>
      </c>
      <c r="S68" s="126">
        <v>3000</v>
      </c>
      <c r="T68" s="126">
        <v>83903</v>
      </c>
      <c r="U68" s="126">
        <v>86903</v>
      </c>
      <c r="V68" s="126" t="s">
        <v>1141</v>
      </c>
      <c r="W68" s="129" t="s">
        <v>1497</v>
      </c>
      <c r="X68" t="s">
        <v>1498</v>
      </c>
      <c r="Y68" t="s">
        <v>644</v>
      </c>
      <c r="Z68" t="s">
        <v>645</v>
      </c>
    </row>
    <row r="69" spans="1:26" x14ac:dyDescent="0.3">
      <c r="A69" s="126" t="s">
        <v>1499</v>
      </c>
      <c r="B69" s="126" t="s">
        <v>887</v>
      </c>
      <c r="C69" s="54" t="s">
        <v>702</v>
      </c>
      <c r="D69" s="127" t="s">
        <v>677</v>
      </c>
      <c r="E69" s="126">
        <v>46995</v>
      </c>
      <c r="F69" s="126">
        <v>23</v>
      </c>
      <c r="G69" s="126">
        <v>3077</v>
      </c>
      <c r="H69" s="126" t="s">
        <v>630</v>
      </c>
      <c r="I69" s="126" t="s">
        <v>1500</v>
      </c>
      <c r="J69" s="126" t="s">
        <v>1501</v>
      </c>
      <c r="K69" s="126" t="s">
        <v>1502</v>
      </c>
      <c r="L69" s="1"/>
      <c r="M69" s="128" t="s">
        <v>1503</v>
      </c>
      <c r="N69" s="126" t="s">
        <v>894</v>
      </c>
      <c r="O69" s="128" t="s">
        <v>1504</v>
      </c>
      <c r="P69" s="126" t="s">
        <v>1505</v>
      </c>
      <c r="Q69" s="126" t="s">
        <v>1506</v>
      </c>
      <c r="R69" s="126" t="s">
        <v>1507</v>
      </c>
      <c r="S69" s="126">
        <v>3000</v>
      </c>
      <c r="T69" s="126">
        <v>44519</v>
      </c>
      <c r="U69" s="126">
        <v>47519</v>
      </c>
      <c r="V69" s="126" t="s">
        <v>817</v>
      </c>
      <c r="W69" s="129" t="s">
        <v>1508</v>
      </c>
      <c r="X69" t="s">
        <v>1509</v>
      </c>
      <c r="Y69" t="s">
        <v>644</v>
      </c>
      <c r="Z69" t="s">
        <v>645</v>
      </c>
    </row>
    <row r="70" spans="1:26" x14ac:dyDescent="0.3">
      <c r="A70" s="126" t="s">
        <v>1510</v>
      </c>
      <c r="B70" s="126" t="s">
        <v>887</v>
      </c>
      <c r="C70" s="54" t="s">
        <v>702</v>
      </c>
      <c r="D70" s="127" t="s">
        <v>1511</v>
      </c>
      <c r="E70" s="126">
        <v>45030</v>
      </c>
      <c r="F70" s="126">
        <v>34</v>
      </c>
      <c r="G70" s="126">
        <v>2550</v>
      </c>
      <c r="H70" s="126" t="s">
        <v>630</v>
      </c>
      <c r="I70" s="126" t="s">
        <v>1512</v>
      </c>
      <c r="J70" s="126" t="s">
        <v>1513</v>
      </c>
      <c r="K70" s="126" t="s">
        <v>1514</v>
      </c>
      <c r="L70" s="126" t="s">
        <v>1161</v>
      </c>
      <c r="M70" s="128" t="s">
        <v>1515</v>
      </c>
      <c r="N70" s="126" t="s">
        <v>894</v>
      </c>
      <c r="O70" s="128" t="s">
        <v>1516</v>
      </c>
      <c r="P70" s="126" t="s">
        <v>1517</v>
      </c>
      <c r="Q70" s="126" t="s">
        <v>1518</v>
      </c>
      <c r="R70" s="126" t="s">
        <v>1519</v>
      </c>
      <c r="S70" s="126">
        <v>3000</v>
      </c>
      <c r="T70" s="126">
        <v>34606</v>
      </c>
      <c r="U70" s="126">
        <v>37606</v>
      </c>
      <c r="V70" s="126" t="s">
        <v>817</v>
      </c>
      <c r="W70" s="129" t="s">
        <v>1520</v>
      </c>
      <c r="X70" t="s">
        <v>1521</v>
      </c>
      <c r="Y70" t="s">
        <v>644</v>
      </c>
      <c r="Z70" t="s">
        <v>645</v>
      </c>
    </row>
    <row r="71" spans="1:26" x14ac:dyDescent="0.3">
      <c r="A71" s="126" t="s">
        <v>1522</v>
      </c>
      <c r="B71" s="126" t="s">
        <v>93</v>
      </c>
      <c r="C71" s="54" t="s">
        <v>702</v>
      </c>
      <c r="D71" s="127" t="s">
        <v>1523</v>
      </c>
      <c r="E71" s="126">
        <v>31000</v>
      </c>
      <c r="F71" s="126">
        <v>24</v>
      </c>
      <c r="G71" s="126">
        <v>1618</v>
      </c>
      <c r="H71" s="126" t="s">
        <v>630</v>
      </c>
      <c r="I71" s="126" t="s">
        <v>1524</v>
      </c>
      <c r="J71" s="126" t="s">
        <v>1525</v>
      </c>
      <c r="K71" s="126" t="s">
        <v>1526</v>
      </c>
      <c r="L71" s="126" t="s">
        <v>931</v>
      </c>
      <c r="M71" s="128" t="s">
        <v>1527</v>
      </c>
      <c r="N71" s="126" t="s">
        <v>894</v>
      </c>
      <c r="O71" s="128" t="s">
        <v>1528</v>
      </c>
      <c r="P71" s="126" t="s">
        <v>1529</v>
      </c>
      <c r="Q71" s="126" t="s">
        <v>1530</v>
      </c>
      <c r="R71" s="126" t="s">
        <v>1531</v>
      </c>
      <c r="S71" s="126">
        <v>3000</v>
      </c>
      <c r="T71" s="126">
        <v>82618</v>
      </c>
      <c r="U71" s="126">
        <v>85618</v>
      </c>
      <c r="V71" s="126" t="s">
        <v>685</v>
      </c>
      <c r="W71" s="129" t="s">
        <v>1532</v>
      </c>
      <c r="X71" t="s">
        <v>1533</v>
      </c>
      <c r="Y71" t="s">
        <v>644</v>
      </c>
      <c r="Z71" t="s">
        <v>645</v>
      </c>
    </row>
    <row r="72" spans="1:26" x14ac:dyDescent="0.3">
      <c r="A72" s="126" t="s">
        <v>1534</v>
      </c>
      <c r="B72" s="126" t="s">
        <v>887</v>
      </c>
      <c r="C72" s="54" t="s">
        <v>702</v>
      </c>
      <c r="D72" s="127" t="s">
        <v>1535</v>
      </c>
      <c r="E72" s="126">
        <v>50500</v>
      </c>
      <c r="F72" s="126">
        <v>36</v>
      </c>
      <c r="G72" s="126">
        <v>2580</v>
      </c>
      <c r="H72" s="126" t="s">
        <v>630</v>
      </c>
      <c r="I72" s="126" t="s">
        <v>1536</v>
      </c>
      <c r="J72" s="126" t="s">
        <v>1537</v>
      </c>
      <c r="K72" s="126" t="s">
        <v>1538</v>
      </c>
      <c r="L72" s="126" t="s">
        <v>1174</v>
      </c>
      <c r="M72" s="128" t="s">
        <v>1539</v>
      </c>
      <c r="N72" s="126" t="s">
        <v>894</v>
      </c>
      <c r="O72" s="128" t="s">
        <v>1540</v>
      </c>
      <c r="P72" s="126" t="s">
        <v>1541</v>
      </c>
      <c r="Q72" s="126" t="s">
        <v>1542</v>
      </c>
      <c r="R72" s="126" t="s">
        <v>1543</v>
      </c>
      <c r="S72" s="126">
        <v>3000</v>
      </c>
      <c r="T72" s="126">
        <v>64262</v>
      </c>
      <c r="U72" s="126">
        <v>67262</v>
      </c>
      <c r="V72" s="126" t="s">
        <v>817</v>
      </c>
      <c r="W72" s="129" t="s">
        <v>1544</v>
      </c>
      <c r="X72" t="s">
        <v>1545</v>
      </c>
      <c r="Y72" t="s">
        <v>644</v>
      </c>
      <c r="Z72" t="s">
        <v>645</v>
      </c>
    </row>
    <row r="73" spans="1:26" x14ac:dyDescent="0.3">
      <c r="A73" s="126" t="s">
        <v>1546</v>
      </c>
      <c r="B73" s="126" t="s">
        <v>93</v>
      </c>
      <c r="C73" s="54" t="s">
        <v>628</v>
      </c>
      <c r="D73" s="127" t="s">
        <v>1547</v>
      </c>
      <c r="E73" s="126">
        <v>116000</v>
      </c>
      <c r="F73" s="126">
        <v>36</v>
      </c>
      <c r="G73" s="126">
        <v>4489</v>
      </c>
      <c r="H73" s="126" t="s">
        <v>630</v>
      </c>
      <c r="I73" s="126" t="s">
        <v>1548</v>
      </c>
      <c r="J73" s="126" t="s">
        <v>1549</v>
      </c>
      <c r="K73" s="126" t="s">
        <v>1550</v>
      </c>
      <c r="L73" s="126" t="s">
        <v>1551</v>
      </c>
      <c r="M73" s="128" t="s">
        <v>1552</v>
      </c>
      <c r="N73" s="126" t="s">
        <v>894</v>
      </c>
      <c r="O73" s="128" t="s">
        <v>1553</v>
      </c>
      <c r="P73" s="126" t="s">
        <v>1554</v>
      </c>
      <c r="Q73" s="126" t="s">
        <v>1555</v>
      </c>
      <c r="R73" s="126" t="s">
        <v>1556</v>
      </c>
      <c r="S73" s="126">
        <v>3000</v>
      </c>
      <c r="T73" s="126">
        <v>159054</v>
      </c>
      <c r="U73" s="126">
        <v>162054</v>
      </c>
      <c r="V73" s="126" t="s">
        <v>1557</v>
      </c>
      <c r="W73" s="129" t="s">
        <v>1558</v>
      </c>
      <c r="X73" t="s">
        <v>1559</v>
      </c>
      <c r="Y73" t="s">
        <v>644</v>
      </c>
      <c r="Z73" t="s">
        <v>645</v>
      </c>
    </row>
    <row r="74" spans="1:26" x14ac:dyDescent="0.3">
      <c r="A74" s="126" t="s">
        <v>1560</v>
      </c>
      <c r="B74" s="126" t="s">
        <v>1094</v>
      </c>
      <c r="C74" s="54" t="s">
        <v>628</v>
      </c>
      <c r="D74" s="127" t="s">
        <v>1561</v>
      </c>
      <c r="E74" s="126">
        <v>62194</v>
      </c>
      <c r="F74" s="126">
        <v>24</v>
      </c>
      <c r="G74" s="126">
        <v>3110</v>
      </c>
      <c r="H74" s="126" t="s">
        <v>630</v>
      </c>
      <c r="I74" s="126" t="s">
        <v>1562</v>
      </c>
      <c r="J74" s="126" t="s">
        <v>1563</v>
      </c>
      <c r="K74" s="126" t="s">
        <v>1564</v>
      </c>
      <c r="L74" s="126" t="s">
        <v>1415</v>
      </c>
      <c r="M74" s="128" t="s">
        <v>1565</v>
      </c>
      <c r="N74" s="126" t="s">
        <v>894</v>
      </c>
      <c r="O74" s="128" t="s">
        <v>1566</v>
      </c>
      <c r="P74" s="1" t="s">
        <v>682</v>
      </c>
      <c r="Q74" s="126" t="s">
        <v>1567</v>
      </c>
      <c r="R74" s="126" t="s">
        <v>1568</v>
      </c>
      <c r="S74" s="126">
        <v>3000</v>
      </c>
      <c r="T74" s="126">
        <v>67626</v>
      </c>
      <c r="U74" s="126">
        <v>70626</v>
      </c>
      <c r="V74" s="126" t="s">
        <v>768</v>
      </c>
      <c r="W74" s="129" t="s">
        <v>1569</v>
      </c>
      <c r="X74" t="s">
        <v>1570</v>
      </c>
      <c r="Y74" t="s">
        <v>644</v>
      </c>
      <c r="Z74" t="s">
        <v>645</v>
      </c>
    </row>
    <row r="75" spans="1:26" x14ac:dyDescent="0.3">
      <c r="A75" s="126" t="s">
        <v>1571</v>
      </c>
      <c r="B75" s="126" t="s">
        <v>93</v>
      </c>
      <c r="C75" s="54" t="s">
        <v>702</v>
      </c>
      <c r="D75" s="127" t="s">
        <v>968</v>
      </c>
      <c r="E75" s="126">
        <v>92299</v>
      </c>
      <c r="F75" s="126">
        <v>36</v>
      </c>
      <c r="G75" s="126">
        <v>3641</v>
      </c>
      <c r="H75" s="126" t="s">
        <v>630</v>
      </c>
      <c r="I75" s="126" t="s">
        <v>1572</v>
      </c>
      <c r="J75" s="126" t="s">
        <v>1573</v>
      </c>
      <c r="K75" s="126" t="s">
        <v>1574</v>
      </c>
      <c r="L75" s="126" t="s">
        <v>931</v>
      </c>
      <c r="M75" s="128" t="s">
        <v>1575</v>
      </c>
      <c r="N75" s="126" t="s">
        <v>894</v>
      </c>
      <c r="O75" s="128" t="s">
        <v>1576</v>
      </c>
      <c r="P75" s="126" t="s">
        <v>1577</v>
      </c>
      <c r="Q75" s="126" t="s">
        <v>1578</v>
      </c>
      <c r="R75" s="126" t="s">
        <v>1579</v>
      </c>
      <c r="S75" s="126">
        <v>3000</v>
      </c>
      <c r="T75" s="126">
        <v>101330</v>
      </c>
      <c r="U75" s="126">
        <v>104330</v>
      </c>
      <c r="V75" s="126" t="s">
        <v>1580</v>
      </c>
      <c r="W75" s="129" t="s">
        <v>1581</v>
      </c>
      <c r="X75" t="s">
        <v>1582</v>
      </c>
      <c r="Y75" t="s">
        <v>644</v>
      </c>
      <c r="Z75" t="s">
        <v>645</v>
      </c>
    </row>
    <row r="76" spans="1:26" x14ac:dyDescent="0.3">
      <c r="A76" s="126" t="s">
        <v>1583</v>
      </c>
      <c r="B76" s="126" t="s">
        <v>887</v>
      </c>
      <c r="C76" s="54" t="s">
        <v>702</v>
      </c>
      <c r="D76" s="127" t="s">
        <v>1584</v>
      </c>
      <c r="E76" s="126">
        <v>70900</v>
      </c>
      <c r="F76" s="126">
        <v>39</v>
      </c>
      <c r="G76" s="126">
        <v>2797</v>
      </c>
      <c r="H76" s="126" t="s">
        <v>630</v>
      </c>
      <c r="I76" s="126" t="s">
        <v>1585</v>
      </c>
      <c r="J76" s="126" t="s">
        <v>1586</v>
      </c>
      <c r="K76" s="126" t="s">
        <v>1587</v>
      </c>
      <c r="L76" s="126" t="s">
        <v>1086</v>
      </c>
      <c r="M76" s="128" t="s">
        <v>1588</v>
      </c>
      <c r="N76" s="126" t="s">
        <v>894</v>
      </c>
      <c r="O76" s="128" t="s">
        <v>1589</v>
      </c>
      <c r="P76" s="126" t="s">
        <v>1590</v>
      </c>
      <c r="Q76" s="126" t="s">
        <v>1591</v>
      </c>
      <c r="R76" s="126" t="s">
        <v>1592</v>
      </c>
      <c r="S76" s="126">
        <v>3000</v>
      </c>
      <c r="T76" s="126">
        <v>120176</v>
      </c>
      <c r="U76" s="126">
        <v>123176</v>
      </c>
      <c r="V76" s="126" t="s">
        <v>1593</v>
      </c>
      <c r="W76" s="129" t="s">
        <v>1594</v>
      </c>
      <c r="X76" t="s">
        <v>1595</v>
      </c>
      <c r="Y76" t="s">
        <v>644</v>
      </c>
      <c r="Z76" t="s">
        <v>645</v>
      </c>
    </row>
    <row r="77" spans="1:26" x14ac:dyDescent="0.3">
      <c r="A77" s="126" t="s">
        <v>1596</v>
      </c>
      <c r="B77" s="126" t="s">
        <v>887</v>
      </c>
      <c r="C77" s="54" t="s">
        <v>702</v>
      </c>
      <c r="D77" s="127" t="s">
        <v>1597</v>
      </c>
      <c r="E77" s="126">
        <v>93500</v>
      </c>
      <c r="F77" s="126">
        <v>56</v>
      </c>
      <c r="G77" s="126">
        <v>3759</v>
      </c>
      <c r="H77" s="126" t="s">
        <v>630</v>
      </c>
      <c r="I77" s="126" t="s">
        <v>1598</v>
      </c>
      <c r="J77" s="126" t="s">
        <v>1599</v>
      </c>
      <c r="K77" s="126" t="s">
        <v>1600</v>
      </c>
      <c r="L77" s="126" t="s">
        <v>1390</v>
      </c>
      <c r="M77" s="128" t="s">
        <v>1391</v>
      </c>
      <c r="N77" s="126" t="s">
        <v>894</v>
      </c>
      <c r="O77" s="128" t="s">
        <v>1601</v>
      </c>
      <c r="P77" s="126" t="s">
        <v>1602</v>
      </c>
      <c r="Q77" s="126" t="s">
        <v>1603</v>
      </c>
      <c r="R77" s="126" t="s">
        <v>1604</v>
      </c>
      <c r="S77" s="126">
        <v>3000</v>
      </c>
      <c r="T77" s="126">
        <v>134309</v>
      </c>
      <c r="U77" s="126">
        <v>137309</v>
      </c>
      <c r="V77" s="126" t="s">
        <v>1303</v>
      </c>
      <c r="W77" s="129" t="s">
        <v>1605</v>
      </c>
      <c r="X77" t="s">
        <v>1606</v>
      </c>
      <c r="Y77" t="s">
        <v>644</v>
      </c>
      <c r="Z77" t="s">
        <v>645</v>
      </c>
    </row>
    <row r="78" spans="1:26" x14ac:dyDescent="0.3">
      <c r="A78" s="126" t="s">
        <v>1607</v>
      </c>
      <c r="B78" s="126" t="s">
        <v>93</v>
      </c>
      <c r="C78" s="54" t="s">
        <v>702</v>
      </c>
      <c r="D78" s="127" t="s">
        <v>1608</v>
      </c>
      <c r="E78" s="126">
        <v>33320</v>
      </c>
      <c r="F78" s="126">
        <v>36</v>
      </c>
      <c r="G78" s="126">
        <v>1889</v>
      </c>
      <c r="H78" s="126" t="s">
        <v>630</v>
      </c>
      <c r="I78" s="126" t="s">
        <v>1609</v>
      </c>
      <c r="J78" s="126" t="s">
        <v>1610</v>
      </c>
      <c r="K78" s="126" t="s">
        <v>1611</v>
      </c>
      <c r="L78" s="126" t="s">
        <v>931</v>
      </c>
      <c r="M78" s="128" t="s">
        <v>1612</v>
      </c>
      <c r="N78" s="126" t="s">
        <v>894</v>
      </c>
      <c r="O78" s="128" t="s">
        <v>1613</v>
      </c>
      <c r="P78" s="126" t="s">
        <v>1614</v>
      </c>
      <c r="Q78" s="126" t="s">
        <v>1615</v>
      </c>
      <c r="R78" s="126" t="s">
        <v>1616</v>
      </c>
      <c r="S78" s="126">
        <v>3000</v>
      </c>
      <c r="T78" s="126">
        <v>44722</v>
      </c>
      <c r="U78" s="126">
        <v>47722</v>
      </c>
      <c r="V78" s="126" t="s">
        <v>685</v>
      </c>
      <c r="W78" s="129" t="s">
        <v>1617</v>
      </c>
      <c r="X78" t="s">
        <v>1618</v>
      </c>
      <c r="Y78" t="s">
        <v>644</v>
      </c>
      <c r="Z78" t="s">
        <v>645</v>
      </c>
    </row>
    <row r="79" spans="1:26" x14ac:dyDescent="0.3">
      <c r="A79" s="126" t="s">
        <v>1619</v>
      </c>
      <c r="B79" s="126" t="s">
        <v>93</v>
      </c>
      <c r="C79" s="54" t="s">
        <v>702</v>
      </c>
      <c r="D79" s="127" t="s">
        <v>1620</v>
      </c>
      <c r="E79" s="126">
        <v>39600</v>
      </c>
      <c r="F79" s="126">
        <v>24</v>
      </c>
      <c r="G79" s="126">
        <v>2094</v>
      </c>
      <c r="H79" s="126" t="s">
        <v>630</v>
      </c>
      <c r="I79" s="126" t="s">
        <v>1621</v>
      </c>
      <c r="J79" s="126" t="s">
        <v>1622</v>
      </c>
      <c r="K79" s="126" t="s">
        <v>1623</v>
      </c>
      <c r="L79" s="126" t="s">
        <v>931</v>
      </c>
      <c r="M79" s="128" t="s">
        <v>932</v>
      </c>
      <c r="N79" s="126" t="s">
        <v>894</v>
      </c>
      <c r="O79" s="128" t="s">
        <v>1624</v>
      </c>
      <c r="P79" s="126" t="s">
        <v>1625</v>
      </c>
      <c r="Q79" s="126" t="s">
        <v>1626</v>
      </c>
      <c r="R79" s="126" t="s">
        <v>1627</v>
      </c>
      <c r="S79" s="126">
        <v>3000</v>
      </c>
      <c r="T79" s="126">
        <v>41714</v>
      </c>
      <c r="U79" s="126">
        <v>44714</v>
      </c>
      <c r="V79" s="126" t="s">
        <v>685</v>
      </c>
      <c r="W79" s="129" t="s">
        <v>1628</v>
      </c>
      <c r="X79" t="s">
        <v>1629</v>
      </c>
      <c r="Y79" t="s">
        <v>644</v>
      </c>
      <c r="Z79" t="s">
        <v>645</v>
      </c>
    </row>
    <row r="80" spans="1:26" x14ac:dyDescent="0.3">
      <c r="A80" s="126" t="s">
        <v>1630</v>
      </c>
      <c r="B80" s="126" t="s">
        <v>93</v>
      </c>
      <c r="C80" s="54" t="s">
        <v>702</v>
      </c>
      <c r="D80" s="127" t="s">
        <v>1631</v>
      </c>
      <c r="E80" s="126">
        <v>40780</v>
      </c>
      <c r="F80" s="126">
        <v>28</v>
      </c>
      <c r="G80" s="126">
        <v>2192</v>
      </c>
      <c r="H80" s="126" t="s">
        <v>630</v>
      </c>
      <c r="I80" s="126" t="s">
        <v>1632</v>
      </c>
      <c r="J80" s="126" t="s">
        <v>1633</v>
      </c>
      <c r="K80" s="126" t="s">
        <v>1634</v>
      </c>
      <c r="L80" s="126" t="s">
        <v>931</v>
      </c>
      <c r="M80" s="128" t="s">
        <v>1635</v>
      </c>
      <c r="N80" s="126" t="s">
        <v>894</v>
      </c>
      <c r="O80" s="128" t="s">
        <v>1636</v>
      </c>
      <c r="P80" s="126" t="s">
        <v>1637</v>
      </c>
      <c r="Q80" s="126" t="s">
        <v>1638</v>
      </c>
      <c r="R80" s="126" t="s">
        <v>1639</v>
      </c>
      <c r="S80" s="126">
        <v>3000</v>
      </c>
      <c r="T80" s="126">
        <v>25348</v>
      </c>
      <c r="U80" s="126">
        <v>28348</v>
      </c>
      <c r="V80" s="126" t="s">
        <v>805</v>
      </c>
      <c r="W80" s="129" t="s">
        <v>1640</v>
      </c>
      <c r="X80" t="s">
        <v>1641</v>
      </c>
      <c r="Y80" t="s">
        <v>644</v>
      </c>
      <c r="Z80" t="s">
        <v>645</v>
      </c>
    </row>
    <row r="81" spans="1:26" x14ac:dyDescent="0.3">
      <c r="A81" s="126" t="s">
        <v>1642</v>
      </c>
      <c r="B81" s="126" t="s">
        <v>93</v>
      </c>
      <c r="C81" s="54" t="s">
        <v>628</v>
      </c>
      <c r="D81" s="127" t="s">
        <v>1643</v>
      </c>
      <c r="E81" s="126">
        <v>104999</v>
      </c>
      <c r="F81" s="126">
        <v>36</v>
      </c>
      <c r="G81" s="126">
        <v>4081</v>
      </c>
      <c r="H81" s="126" t="s">
        <v>630</v>
      </c>
      <c r="I81" s="126" t="s">
        <v>1644</v>
      </c>
      <c r="J81" s="126" t="s">
        <v>1645</v>
      </c>
      <c r="K81" s="126" t="s">
        <v>1646</v>
      </c>
      <c r="L81" s="126" t="s">
        <v>1013</v>
      </c>
      <c r="M81" s="128" t="s">
        <v>1647</v>
      </c>
      <c r="N81" s="126" t="s">
        <v>894</v>
      </c>
      <c r="O81" s="128" t="s">
        <v>1648</v>
      </c>
      <c r="P81" s="126" t="s">
        <v>1649</v>
      </c>
      <c r="Q81" s="126" t="s">
        <v>1650</v>
      </c>
      <c r="R81" s="126" t="s">
        <v>1651</v>
      </c>
      <c r="S81" s="126">
        <v>3000</v>
      </c>
      <c r="T81" s="126">
        <v>141170</v>
      </c>
      <c r="U81" s="126">
        <v>144170</v>
      </c>
      <c r="V81" s="126" t="s">
        <v>1369</v>
      </c>
      <c r="W81" s="129" t="s">
        <v>1652</v>
      </c>
      <c r="X81" t="s">
        <v>1653</v>
      </c>
      <c r="Y81" t="s">
        <v>644</v>
      </c>
      <c r="Z81" t="s">
        <v>645</v>
      </c>
    </row>
    <row r="82" spans="1:26" x14ac:dyDescent="0.3">
      <c r="A82" s="126" t="s">
        <v>1654</v>
      </c>
      <c r="B82" s="126" t="s">
        <v>93</v>
      </c>
      <c r="C82" s="54" t="s">
        <v>702</v>
      </c>
      <c r="D82" s="127" t="s">
        <v>1655</v>
      </c>
      <c r="E82" s="126">
        <v>35548</v>
      </c>
      <c r="F82" s="126">
        <v>22</v>
      </c>
      <c r="G82" s="126">
        <v>2390</v>
      </c>
      <c r="H82" s="126" t="s">
        <v>630</v>
      </c>
      <c r="I82" s="126" t="s">
        <v>1656</v>
      </c>
      <c r="J82" s="126" t="s">
        <v>1657</v>
      </c>
      <c r="K82" s="126" t="s">
        <v>1658</v>
      </c>
      <c r="L82" s="126" t="s">
        <v>931</v>
      </c>
      <c r="M82" s="128" t="s">
        <v>1527</v>
      </c>
      <c r="N82" s="126" t="s">
        <v>894</v>
      </c>
      <c r="O82" s="128" t="s">
        <v>1659</v>
      </c>
      <c r="P82" s="126" t="s">
        <v>1660</v>
      </c>
      <c r="Q82" s="126" t="s">
        <v>1661</v>
      </c>
      <c r="R82" s="126" t="s">
        <v>1662</v>
      </c>
      <c r="S82" s="126">
        <v>3000</v>
      </c>
      <c r="T82" s="126">
        <v>24014</v>
      </c>
      <c r="U82" s="126">
        <v>27014</v>
      </c>
      <c r="V82" s="126" t="s">
        <v>1005</v>
      </c>
      <c r="W82" s="129" t="s">
        <v>1663</v>
      </c>
      <c r="X82" t="s">
        <v>1664</v>
      </c>
      <c r="Y82" t="s">
        <v>644</v>
      </c>
      <c r="Z82" t="s">
        <v>645</v>
      </c>
    </row>
    <row r="83" spans="1:26" x14ac:dyDescent="0.3">
      <c r="A83" s="126" t="s">
        <v>1665</v>
      </c>
      <c r="B83" s="126" t="s">
        <v>887</v>
      </c>
      <c r="C83" s="54" t="s">
        <v>702</v>
      </c>
      <c r="D83" s="127" t="s">
        <v>1666</v>
      </c>
      <c r="E83" s="126">
        <v>61500</v>
      </c>
      <c r="F83" s="126">
        <v>36</v>
      </c>
      <c r="G83" s="126">
        <v>2622</v>
      </c>
      <c r="H83" s="126" t="s">
        <v>630</v>
      </c>
      <c r="I83" s="126" t="s">
        <v>1667</v>
      </c>
      <c r="J83" s="126" t="s">
        <v>1668</v>
      </c>
      <c r="K83" s="126" t="s">
        <v>1669</v>
      </c>
      <c r="L83" s="1"/>
      <c r="M83" s="128" t="s">
        <v>1670</v>
      </c>
      <c r="N83" s="126" t="s">
        <v>894</v>
      </c>
      <c r="O83" s="128" t="s">
        <v>1671</v>
      </c>
      <c r="P83" s="126" t="s">
        <v>1672</v>
      </c>
      <c r="Q83" s="126" t="s">
        <v>1673</v>
      </c>
      <c r="R83" s="126" t="s">
        <v>1674</v>
      </c>
      <c r="S83" s="126">
        <v>3000</v>
      </c>
      <c r="T83" s="126">
        <v>77037</v>
      </c>
      <c r="U83" s="126">
        <v>80037</v>
      </c>
      <c r="V83" s="126" t="s">
        <v>1675</v>
      </c>
      <c r="W83" s="129" t="s">
        <v>1676</v>
      </c>
      <c r="X83" t="s">
        <v>1677</v>
      </c>
      <c r="Y83" t="s">
        <v>644</v>
      </c>
      <c r="Z83" t="s">
        <v>645</v>
      </c>
    </row>
    <row r="84" spans="1:26" x14ac:dyDescent="0.3">
      <c r="A84" s="126" t="s">
        <v>1678</v>
      </c>
      <c r="B84" s="126" t="s">
        <v>1679</v>
      </c>
      <c r="C84" s="54" t="s">
        <v>661</v>
      </c>
      <c r="D84" s="127" t="s">
        <v>1680</v>
      </c>
      <c r="E84" s="126">
        <v>56600</v>
      </c>
      <c r="F84" s="126">
        <v>21</v>
      </c>
      <c r="G84" s="126">
        <v>3372</v>
      </c>
      <c r="H84" s="126" t="s">
        <v>630</v>
      </c>
      <c r="I84" s="126" t="s">
        <v>1681</v>
      </c>
      <c r="J84" s="126" t="s">
        <v>1682</v>
      </c>
      <c r="K84" s="126" t="s">
        <v>1683</v>
      </c>
      <c r="L84" s="126" t="s">
        <v>1086</v>
      </c>
      <c r="M84" s="128" t="s">
        <v>1684</v>
      </c>
      <c r="N84" s="126" t="s">
        <v>894</v>
      </c>
      <c r="O84" s="128" t="s">
        <v>1685</v>
      </c>
      <c r="P84" s="126" t="s">
        <v>1686</v>
      </c>
      <c r="Q84" s="126" t="s">
        <v>1687</v>
      </c>
      <c r="R84" s="126" t="s">
        <v>1688</v>
      </c>
      <c r="S84" s="126">
        <v>0</v>
      </c>
      <c r="T84" s="126">
        <v>71036</v>
      </c>
      <c r="U84" s="126">
        <v>71036</v>
      </c>
      <c r="V84" s="126" t="s">
        <v>714</v>
      </c>
      <c r="W84" s="129" t="s">
        <v>1689</v>
      </c>
      <c r="X84" t="s">
        <v>1690</v>
      </c>
      <c r="Y84" t="s">
        <v>644</v>
      </c>
      <c r="Z84" t="s">
        <v>645</v>
      </c>
    </row>
    <row r="85" spans="1:26" x14ac:dyDescent="0.3">
      <c r="A85" s="126" t="s">
        <v>1691</v>
      </c>
      <c r="B85" s="126" t="s">
        <v>953</v>
      </c>
      <c r="C85" s="54" t="s">
        <v>702</v>
      </c>
      <c r="D85" s="127" t="s">
        <v>1692</v>
      </c>
      <c r="E85" s="126">
        <v>88768</v>
      </c>
      <c r="F85" s="126">
        <v>39</v>
      </c>
      <c r="G85" s="126">
        <v>3243</v>
      </c>
      <c r="H85" s="126" t="s">
        <v>630</v>
      </c>
      <c r="I85" s="126" t="s">
        <v>1693</v>
      </c>
      <c r="J85" s="126" t="s">
        <v>1694</v>
      </c>
      <c r="K85" s="126" t="s">
        <v>1695</v>
      </c>
      <c r="L85" s="126" t="s">
        <v>1696</v>
      </c>
      <c r="M85" s="128" t="s">
        <v>1697</v>
      </c>
      <c r="N85" s="126" t="s">
        <v>894</v>
      </c>
      <c r="O85" s="128" t="s">
        <v>1698</v>
      </c>
      <c r="P85" s="126" t="s">
        <v>1699</v>
      </c>
      <c r="Q85" s="126" t="s">
        <v>1700</v>
      </c>
      <c r="R85" s="126" t="s">
        <v>1701</v>
      </c>
      <c r="S85" s="126">
        <v>3000</v>
      </c>
      <c r="T85" s="126">
        <v>55260</v>
      </c>
      <c r="U85" s="126">
        <v>58260</v>
      </c>
      <c r="V85" s="126" t="s">
        <v>1702</v>
      </c>
      <c r="W85" s="129" t="s">
        <v>1703</v>
      </c>
      <c r="X85" t="s">
        <v>1704</v>
      </c>
      <c r="Y85" t="s">
        <v>644</v>
      </c>
      <c r="Z85" t="s">
        <v>645</v>
      </c>
    </row>
    <row r="86" spans="1:26" x14ac:dyDescent="0.3">
      <c r="A86" s="126" t="s">
        <v>1705</v>
      </c>
      <c r="B86" s="126" t="s">
        <v>953</v>
      </c>
      <c r="C86" s="54" t="s">
        <v>702</v>
      </c>
      <c r="D86" s="127" t="s">
        <v>1706</v>
      </c>
      <c r="E86" s="126">
        <v>98900</v>
      </c>
      <c r="F86" s="126">
        <v>36</v>
      </c>
      <c r="G86" s="126">
        <v>3893</v>
      </c>
      <c r="H86" s="126" t="s">
        <v>630</v>
      </c>
      <c r="I86" s="126" t="s">
        <v>1707</v>
      </c>
      <c r="J86" s="126" t="s">
        <v>1708</v>
      </c>
      <c r="K86" s="126" t="s">
        <v>1709</v>
      </c>
      <c r="L86" s="126" t="s">
        <v>1710</v>
      </c>
      <c r="M86" s="128" t="s">
        <v>1711</v>
      </c>
      <c r="N86" s="126" t="s">
        <v>894</v>
      </c>
      <c r="O86" s="128" t="s">
        <v>1712</v>
      </c>
      <c r="P86" s="1" t="s">
        <v>682</v>
      </c>
      <c r="Q86" s="126" t="s">
        <v>1713</v>
      </c>
      <c r="R86" s="126" t="s">
        <v>1714</v>
      </c>
      <c r="S86" s="126">
        <v>3000</v>
      </c>
      <c r="T86" s="126">
        <v>89764</v>
      </c>
      <c r="U86" s="126">
        <v>92764</v>
      </c>
      <c r="V86" s="126" t="s">
        <v>1369</v>
      </c>
      <c r="W86" s="129" t="s">
        <v>1715</v>
      </c>
      <c r="X86" t="s">
        <v>1716</v>
      </c>
      <c r="Y86" t="s">
        <v>644</v>
      </c>
      <c r="Z86" t="s">
        <v>645</v>
      </c>
    </row>
    <row r="87" spans="1:26" x14ac:dyDescent="0.3">
      <c r="A87" s="126" t="s">
        <v>1717</v>
      </c>
      <c r="B87" s="126" t="s">
        <v>887</v>
      </c>
      <c r="C87" s="54" t="s">
        <v>661</v>
      </c>
      <c r="D87" s="127" t="s">
        <v>1718</v>
      </c>
      <c r="E87" s="126">
        <v>51500</v>
      </c>
      <c r="F87" s="126">
        <v>29</v>
      </c>
      <c r="G87" s="126">
        <v>2678</v>
      </c>
      <c r="H87" s="126" t="s">
        <v>630</v>
      </c>
      <c r="I87" s="126" t="s">
        <v>1719</v>
      </c>
      <c r="J87" s="126" t="s">
        <v>1720</v>
      </c>
      <c r="K87" s="126" t="s">
        <v>1721</v>
      </c>
      <c r="L87" s="126" t="s">
        <v>1161</v>
      </c>
      <c r="M87" s="128" t="s">
        <v>1722</v>
      </c>
      <c r="N87" s="126" t="s">
        <v>894</v>
      </c>
      <c r="O87" s="128" t="s">
        <v>1723</v>
      </c>
      <c r="P87" s="126" t="s">
        <v>1724</v>
      </c>
      <c r="Q87" s="126" t="s">
        <v>1725</v>
      </c>
      <c r="R87" s="126" t="s">
        <v>1726</v>
      </c>
      <c r="S87" s="126">
        <v>3000</v>
      </c>
      <c r="T87" s="126">
        <v>16648</v>
      </c>
      <c r="U87" s="126">
        <v>19648</v>
      </c>
      <c r="V87" s="126" t="s">
        <v>817</v>
      </c>
      <c r="W87" s="129" t="s">
        <v>1727</v>
      </c>
      <c r="X87" t="s">
        <v>1728</v>
      </c>
      <c r="Y87" t="s">
        <v>644</v>
      </c>
      <c r="Z87" t="s">
        <v>645</v>
      </c>
    </row>
    <row r="88" spans="1:26" x14ac:dyDescent="0.3">
      <c r="A88" s="126" t="s">
        <v>1729</v>
      </c>
      <c r="B88" s="126" t="s">
        <v>93</v>
      </c>
      <c r="C88" s="54" t="s">
        <v>661</v>
      </c>
      <c r="D88" s="127" t="s">
        <v>1730</v>
      </c>
      <c r="E88" s="126">
        <v>54019</v>
      </c>
      <c r="F88" s="126">
        <v>28</v>
      </c>
      <c r="G88" s="126">
        <v>3084</v>
      </c>
      <c r="H88" s="126" t="s">
        <v>630</v>
      </c>
      <c r="I88" s="126" t="s">
        <v>1731</v>
      </c>
      <c r="J88" s="126" t="s">
        <v>1732</v>
      </c>
      <c r="K88" s="126" t="s">
        <v>1733</v>
      </c>
      <c r="L88" s="126" t="s">
        <v>1734</v>
      </c>
      <c r="M88" s="128" t="s">
        <v>1735</v>
      </c>
      <c r="N88" s="126" t="s">
        <v>894</v>
      </c>
      <c r="O88" s="128" t="s">
        <v>1736</v>
      </c>
      <c r="P88" s="126" t="s">
        <v>1737</v>
      </c>
      <c r="Q88" s="126" t="s">
        <v>1738</v>
      </c>
      <c r="R88" s="126" t="s">
        <v>1739</v>
      </c>
      <c r="S88" s="126">
        <v>3000</v>
      </c>
      <c r="T88" s="126">
        <v>36570</v>
      </c>
      <c r="U88" s="126">
        <v>39570</v>
      </c>
      <c r="V88" s="126" t="s">
        <v>1141</v>
      </c>
      <c r="W88" s="129" t="s">
        <v>1740</v>
      </c>
      <c r="X88" t="s">
        <v>1741</v>
      </c>
      <c r="Y88" t="s">
        <v>644</v>
      </c>
      <c r="Z88" t="s">
        <v>645</v>
      </c>
    </row>
    <row r="89" spans="1:26" x14ac:dyDescent="0.3">
      <c r="A89" s="126" t="s">
        <v>1742</v>
      </c>
      <c r="B89" s="126" t="s">
        <v>953</v>
      </c>
      <c r="C89" s="54" t="s">
        <v>702</v>
      </c>
      <c r="D89" s="127" t="s">
        <v>1743</v>
      </c>
      <c r="E89" s="126">
        <v>108619</v>
      </c>
      <c r="F89" s="126">
        <v>36</v>
      </c>
      <c r="G89" s="126">
        <v>4203</v>
      </c>
      <c r="H89" s="126" t="s">
        <v>630</v>
      </c>
      <c r="I89" s="126" t="s">
        <v>1744</v>
      </c>
      <c r="J89" s="126" t="s">
        <v>1745</v>
      </c>
      <c r="K89" s="126" t="s">
        <v>1746</v>
      </c>
      <c r="L89" s="126" t="s">
        <v>1747</v>
      </c>
      <c r="M89" s="128" t="s">
        <v>1748</v>
      </c>
      <c r="N89" s="126" t="s">
        <v>894</v>
      </c>
      <c r="O89" s="128" t="s">
        <v>1749</v>
      </c>
      <c r="P89" s="1" t="s">
        <v>682</v>
      </c>
      <c r="Q89" s="126" t="s">
        <v>1750</v>
      </c>
      <c r="R89" s="126" t="s">
        <v>1751</v>
      </c>
      <c r="S89" s="126">
        <v>3000</v>
      </c>
      <c r="T89" s="126">
        <v>114080</v>
      </c>
      <c r="U89" s="126">
        <v>117080</v>
      </c>
      <c r="V89" s="126" t="s">
        <v>742</v>
      </c>
      <c r="W89" s="129" t="s">
        <v>1752</v>
      </c>
      <c r="X89" t="s">
        <v>1753</v>
      </c>
      <c r="Y89" t="s">
        <v>644</v>
      </c>
      <c r="Z89" t="s">
        <v>645</v>
      </c>
    </row>
    <row r="90" spans="1:26" x14ac:dyDescent="0.3">
      <c r="A90" s="126" t="s">
        <v>1754</v>
      </c>
      <c r="B90" s="126" t="s">
        <v>953</v>
      </c>
      <c r="C90" s="54" t="s">
        <v>702</v>
      </c>
      <c r="D90" s="127" t="s">
        <v>1755</v>
      </c>
      <c r="E90" s="126">
        <v>91240</v>
      </c>
      <c r="F90" s="126">
        <v>30</v>
      </c>
      <c r="G90" s="126">
        <v>4061</v>
      </c>
      <c r="H90" s="126" t="s">
        <v>630</v>
      </c>
      <c r="I90" s="126" t="s">
        <v>1756</v>
      </c>
      <c r="J90" s="126" t="s">
        <v>1757</v>
      </c>
      <c r="K90" s="126" t="s">
        <v>1758</v>
      </c>
      <c r="L90" s="126" t="s">
        <v>1759</v>
      </c>
      <c r="M90" s="128" t="s">
        <v>1760</v>
      </c>
      <c r="N90" s="126" t="s">
        <v>894</v>
      </c>
      <c r="O90" s="128" t="s">
        <v>1761</v>
      </c>
      <c r="P90" s="126" t="s">
        <v>1762</v>
      </c>
      <c r="Q90" s="126" t="s">
        <v>1763</v>
      </c>
      <c r="R90" s="126" t="s">
        <v>1764</v>
      </c>
      <c r="S90" s="126">
        <v>3000</v>
      </c>
      <c r="T90" s="126">
        <v>51970</v>
      </c>
      <c r="U90" s="126">
        <v>54970</v>
      </c>
      <c r="V90" s="126" t="s">
        <v>1369</v>
      </c>
      <c r="W90" s="129" t="s">
        <v>1765</v>
      </c>
      <c r="X90" t="s">
        <v>1766</v>
      </c>
      <c r="Y90" t="s">
        <v>644</v>
      </c>
      <c r="Z90" t="s">
        <v>645</v>
      </c>
    </row>
    <row r="91" spans="1:26" x14ac:dyDescent="0.3">
      <c r="A91" s="126" t="s">
        <v>1767</v>
      </c>
      <c r="B91" s="126" t="s">
        <v>887</v>
      </c>
      <c r="C91" s="54" t="s">
        <v>661</v>
      </c>
      <c r="D91" s="127" t="s">
        <v>1768</v>
      </c>
      <c r="E91" s="126">
        <v>30380</v>
      </c>
      <c r="F91" s="126">
        <v>29</v>
      </c>
      <c r="G91" s="126">
        <v>1568</v>
      </c>
      <c r="H91" s="126" t="s">
        <v>630</v>
      </c>
      <c r="I91" s="126" t="s">
        <v>1769</v>
      </c>
      <c r="J91" s="126" t="s">
        <v>1770</v>
      </c>
      <c r="K91" s="126" t="s">
        <v>1771</v>
      </c>
      <c r="L91" s="126" t="s">
        <v>1149</v>
      </c>
      <c r="M91" s="128" t="s">
        <v>1772</v>
      </c>
      <c r="N91" s="126" t="s">
        <v>894</v>
      </c>
      <c r="O91" s="128" t="s">
        <v>1773</v>
      </c>
      <c r="P91" s="126" t="s">
        <v>1774</v>
      </c>
      <c r="Q91" s="126" t="s">
        <v>1775</v>
      </c>
      <c r="R91" s="126" t="s">
        <v>1776</v>
      </c>
      <c r="S91" s="126">
        <v>3000</v>
      </c>
      <c r="T91" s="126">
        <v>19438</v>
      </c>
      <c r="U91" s="126">
        <v>22438</v>
      </c>
      <c r="V91" s="126" t="s">
        <v>685</v>
      </c>
      <c r="W91" s="129" t="s">
        <v>1777</v>
      </c>
      <c r="X91" t="s">
        <v>1778</v>
      </c>
      <c r="Y91" t="s">
        <v>644</v>
      </c>
      <c r="Z91" t="s">
        <v>645</v>
      </c>
    </row>
    <row r="92" spans="1:26" x14ac:dyDescent="0.3">
      <c r="A92" s="126" t="s">
        <v>1779</v>
      </c>
      <c r="B92" s="126" t="s">
        <v>93</v>
      </c>
      <c r="C92" s="54" t="s">
        <v>661</v>
      </c>
      <c r="D92" s="127" t="s">
        <v>1780</v>
      </c>
      <c r="E92" s="126">
        <v>63092</v>
      </c>
      <c r="F92" s="126">
        <v>24</v>
      </c>
      <c r="G92" s="126">
        <v>3305</v>
      </c>
      <c r="H92" s="126" t="s">
        <v>630</v>
      </c>
      <c r="I92" s="126" t="s">
        <v>1781</v>
      </c>
      <c r="J92" s="126" t="s">
        <v>1782</v>
      </c>
      <c r="K92" s="126" t="s">
        <v>1783</v>
      </c>
      <c r="L92" s="126" t="s">
        <v>1784</v>
      </c>
      <c r="M92" s="128" t="s">
        <v>1785</v>
      </c>
      <c r="N92" s="126" t="s">
        <v>894</v>
      </c>
      <c r="O92" s="128" t="s">
        <v>1786</v>
      </c>
      <c r="P92" s="126" t="s">
        <v>1787</v>
      </c>
      <c r="Q92" s="126" t="s">
        <v>1788</v>
      </c>
      <c r="R92" s="126" t="s">
        <v>1789</v>
      </c>
      <c r="S92" s="126">
        <v>3000</v>
      </c>
      <c r="T92" s="126">
        <v>20891</v>
      </c>
      <c r="U92" s="126">
        <v>23891</v>
      </c>
      <c r="V92" s="126" t="s">
        <v>883</v>
      </c>
      <c r="W92" s="129" t="s">
        <v>1790</v>
      </c>
      <c r="X92" t="s">
        <v>1791</v>
      </c>
      <c r="Y92" t="s">
        <v>644</v>
      </c>
      <c r="Z92" t="s">
        <v>645</v>
      </c>
    </row>
    <row r="93" spans="1:26" x14ac:dyDescent="0.3">
      <c r="A93" s="126" t="s">
        <v>1792</v>
      </c>
      <c r="B93" s="126" t="s">
        <v>953</v>
      </c>
      <c r="C93" s="54" t="s">
        <v>702</v>
      </c>
      <c r="D93" s="127" t="s">
        <v>1793</v>
      </c>
      <c r="E93" s="126">
        <v>88302</v>
      </c>
      <c r="F93" s="126">
        <v>48</v>
      </c>
      <c r="G93" s="126">
        <v>3631</v>
      </c>
      <c r="H93" s="126" t="s">
        <v>630</v>
      </c>
      <c r="I93" s="126" t="s">
        <v>1794</v>
      </c>
      <c r="J93" s="126" t="s">
        <v>1795</v>
      </c>
      <c r="K93" s="126" t="s">
        <v>1796</v>
      </c>
      <c r="L93" s="126" t="s">
        <v>1797</v>
      </c>
      <c r="M93" s="128" t="s">
        <v>1798</v>
      </c>
      <c r="N93" s="126" t="s">
        <v>894</v>
      </c>
      <c r="O93" s="128" t="s">
        <v>1799</v>
      </c>
      <c r="P93" s="126" t="s">
        <v>1800</v>
      </c>
      <c r="Q93" s="126" t="s">
        <v>1801</v>
      </c>
      <c r="R93" s="126" t="s">
        <v>1802</v>
      </c>
      <c r="S93" s="126">
        <v>3000</v>
      </c>
      <c r="T93" s="126">
        <v>108888</v>
      </c>
      <c r="U93" s="126">
        <v>111888</v>
      </c>
      <c r="V93" s="126" t="s">
        <v>1369</v>
      </c>
      <c r="W93" s="129" t="s">
        <v>1803</v>
      </c>
      <c r="X93" t="s">
        <v>1804</v>
      </c>
      <c r="Y93" t="s">
        <v>644</v>
      </c>
      <c r="Z93" t="s">
        <v>645</v>
      </c>
    </row>
    <row r="94" spans="1:26" x14ac:dyDescent="0.3">
      <c r="A94" s="126" t="s">
        <v>1805</v>
      </c>
      <c r="B94" s="126" t="s">
        <v>953</v>
      </c>
      <c r="C94" s="54" t="s">
        <v>702</v>
      </c>
      <c r="D94" s="127" t="s">
        <v>784</v>
      </c>
      <c r="E94" s="126">
        <v>87899</v>
      </c>
      <c r="F94" s="126">
        <v>30</v>
      </c>
      <c r="G94" s="126">
        <v>3641</v>
      </c>
      <c r="H94" s="126" t="s">
        <v>630</v>
      </c>
      <c r="I94" s="126" t="s">
        <v>1806</v>
      </c>
      <c r="J94" s="126" t="s">
        <v>1807</v>
      </c>
      <c r="K94" s="126" t="s">
        <v>1808</v>
      </c>
      <c r="L94" s="126" t="s">
        <v>1377</v>
      </c>
      <c r="M94" s="128" t="s">
        <v>1809</v>
      </c>
      <c r="N94" s="126" t="s">
        <v>894</v>
      </c>
      <c r="O94" s="128" t="s">
        <v>1810</v>
      </c>
      <c r="P94" s="126" t="s">
        <v>1811</v>
      </c>
      <c r="Q94" s="126" t="s">
        <v>1812</v>
      </c>
      <c r="R94" s="126" t="s">
        <v>1813</v>
      </c>
      <c r="S94" s="126">
        <v>3000</v>
      </c>
      <c r="T94" s="126">
        <v>66506</v>
      </c>
      <c r="U94" s="126">
        <v>69506</v>
      </c>
      <c r="V94" s="126" t="s">
        <v>1702</v>
      </c>
      <c r="W94" s="129" t="s">
        <v>1814</v>
      </c>
      <c r="X94" t="s">
        <v>1815</v>
      </c>
      <c r="Y94" t="s">
        <v>644</v>
      </c>
      <c r="Z94" t="s">
        <v>645</v>
      </c>
    </row>
    <row r="95" spans="1:26" x14ac:dyDescent="0.3">
      <c r="A95" s="126" t="s">
        <v>1816</v>
      </c>
      <c r="B95" s="126" t="s">
        <v>953</v>
      </c>
      <c r="C95" s="54" t="s">
        <v>702</v>
      </c>
      <c r="D95" s="127" t="s">
        <v>1817</v>
      </c>
      <c r="E95" s="126">
        <v>62592</v>
      </c>
      <c r="F95" s="126">
        <v>39</v>
      </c>
      <c r="G95" s="126">
        <v>3022</v>
      </c>
      <c r="H95" s="126" t="s">
        <v>630</v>
      </c>
      <c r="I95" s="126" t="s">
        <v>1818</v>
      </c>
      <c r="J95" s="126" t="s">
        <v>1819</v>
      </c>
      <c r="K95" s="126" t="s">
        <v>1820</v>
      </c>
      <c r="L95" s="126" t="s">
        <v>1797</v>
      </c>
      <c r="M95" s="128" t="s">
        <v>1821</v>
      </c>
      <c r="N95" s="126" t="s">
        <v>894</v>
      </c>
      <c r="O95" s="128" t="s">
        <v>1822</v>
      </c>
      <c r="P95" s="1" t="s">
        <v>682</v>
      </c>
      <c r="Q95" s="126" t="s">
        <v>1823</v>
      </c>
      <c r="R95" s="126" t="s">
        <v>1824</v>
      </c>
      <c r="S95" s="126">
        <v>3000</v>
      </c>
      <c r="T95" s="126">
        <v>46641</v>
      </c>
      <c r="U95" s="126">
        <v>49641</v>
      </c>
      <c r="V95" s="126" t="s">
        <v>698</v>
      </c>
      <c r="W95" s="129" t="s">
        <v>1825</v>
      </c>
      <c r="X95" t="s">
        <v>1826</v>
      </c>
      <c r="Y95" t="s">
        <v>644</v>
      </c>
      <c r="Z95" t="s">
        <v>645</v>
      </c>
    </row>
    <row r="96" spans="1:26" x14ac:dyDescent="0.3">
      <c r="A96" s="126" t="s">
        <v>1827</v>
      </c>
      <c r="B96" s="126" t="s">
        <v>93</v>
      </c>
      <c r="C96" s="54" t="s">
        <v>702</v>
      </c>
      <c r="D96" s="127" t="s">
        <v>1828</v>
      </c>
      <c r="E96" s="126">
        <v>85000</v>
      </c>
      <c r="F96" s="126">
        <v>36</v>
      </c>
      <c r="G96" s="126">
        <v>3790</v>
      </c>
      <c r="H96" s="126" t="s">
        <v>630</v>
      </c>
      <c r="I96" s="126" t="s">
        <v>1829</v>
      </c>
      <c r="J96" s="126" t="s">
        <v>1830</v>
      </c>
      <c r="K96" s="126" t="s">
        <v>1831</v>
      </c>
      <c r="L96" s="126" t="s">
        <v>1832</v>
      </c>
      <c r="M96" s="128" t="s">
        <v>1833</v>
      </c>
      <c r="N96" s="126" t="s">
        <v>894</v>
      </c>
      <c r="O96" s="128" t="s">
        <v>1834</v>
      </c>
      <c r="P96" s="126" t="s">
        <v>1835</v>
      </c>
      <c r="Q96" s="126" t="s">
        <v>1836</v>
      </c>
      <c r="R96" s="126" t="s">
        <v>1837</v>
      </c>
      <c r="S96" s="126">
        <v>3000</v>
      </c>
      <c r="T96" s="126">
        <v>61515</v>
      </c>
      <c r="U96" s="126">
        <v>64515</v>
      </c>
      <c r="V96" s="126" t="s">
        <v>1702</v>
      </c>
      <c r="W96" s="129" t="s">
        <v>1838</v>
      </c>
      <c r="X96" t="s">
        <v>1839</v>
      </c>
      <c r="Y96" t="s">
        <v>644</v>
      </c>
      <c r="Z96" t="s">
        <v>645</v>
      </c>
    </row>
    <row r="97" spans="1:26" x14ac:dyDescent="0.3">
      <c r="A97" s="126" t="s">
        <v>1840</v>
      </c>
      <c r="B97" s="126" t="s">
        <v>93</v>
      </c>
      <c r="C97" s="54" t="s">
        <v>702</v>
      </c>
      <c r="D97" s="127" t="s">
        <v>1841</v>
      </c>
      <c r="E97" s="126">
        <v>74200</v>
      </c>
      <c r="F97" s="126">
        <v>46</v>
      </c>
      <c r="G97" s="126">
        <v>3001</v>
      </c>
      <c r="H97" s="126" t="s">
        <v>630</v>
      </c>
      <c r="I97" s="126" t="s">
        <v>1842</v>
      </c>
      <c r="J97" s="126" t="s">
        <v>1843</v>
      </c>
      <c r="K97" s="126" t="s">
        <v>1844</v>
      </c>
      <c r="L97" s="126" t="s">
        <v>94</v>
      </c>
      <c r="M97" s="128" t="s">
        <v>1845</v>
      </c>
      <c r="N97" s="126" t="s">
        <v>894</v>
      </c>
      <c r="O97" s="128" t="s">
        <v>1846</v>
      </c>
      <c r="P97" s="126" t="s">
        <v>1847</v>
      </c>
      <c r="Q97" s="126" t="s">
        <v>1848</v>
      </c>
      <c r="R97" s="126" t="s">
        <v>1849</v>
      </c>
      <c r="S97" s="126">
        <v>3000</v>
      </c>
      <c r="T97" s="126">
        <v>35807</v>
      </c>
      <c r="U97" s="126">
        <v>38807</v>
      </c>
      <c r="V97" s="126" t="s">
        <v>1850</v>
      </c>
      <c r="W97" s="129" t="s">
        <v>1851</v>
      </c>
      <c r="X97" t="s">
        <v>1852</v>
      </c>
      <c r="Y97" t="s">
        <v>644</v>
      </c>
      <c r="Z97" t="s">
        <v>645</v>
      </c>
    </row>
    <row r="98" spans="1:26" x14ac:dyDescent="0.3">
      <c r="A98" s="126" t="s">
        <v>1853</v>
      </c>
      <c r="B98" s="126" t="s">
        <v>93</v>
      </c>
      <c r="C98" s="54" t="s">
        <v>661</v>
      </c>
      <c r="D98" s="127" t="s">
        <v>1730</v>
      </c>
      <c r="E98" s="126">
        <v>45780</v>
      </c>
      <c r="F98" s="126">
        <v>29</v>
      </c>
      <c r="G98" s="126">
        <v>2339</v>
      </c>
      <c r="H98" s="126" t="s">
        <v>630</v>
      </c>
      <c r="I98" s="126" t="s">
        <v>1854</v>
      </c>
      <c r="J98" s="126" t="s">
        <v>1855</v>
      </c>
      <c r="K98" s="126" t="s">
        <v>1856</v>
      </c>
      <c r="L98" s="126" t="s">
        <v>1857</v>
      </c>
      <c r="M98" s="128" t="s">
        <v>1858</v>
      </c>
      <c r="N98" s="126" t="s">
        <v>894</v>
      </c>
      <c r="O98" s="128" t="s">
        <v>1859</v>
      </c>
      <c r="P98" s="126" t="s">
        <v>1860</v>
      </c>
      <c r="Q98" s="126" t="s">
        <v>1861</v>
      </c>
      <c r="R98" s="126" t="s">
        <v>1862</v>
      </c>
      <c r="S98" s="126">
        <v>3000</v>
      </c>
      <c r="T98" s="126">
        <v>21999</v>
      </c>
      <c r="U98" s="126">
        <v>24999</v>
      </c>
      <c r="V98" s="126" t="s">
        <v>805</v>
      </c>
      <c r="W98" s="129" t="s">
        <v>1863</v>
      </c>
      <c r="X98" t="s">
        <v>1864</v>
      </c>
      <c r="Y98" t="s">
        <v>644</v>
      </c>
      <c r="Z98" t="s">
        <v>645</v>
      </c>
    </row>
    <row r="99" spans="1:26" x14ac:dyDescent="0.3">
      <c r="A99" s="126" t="s">
        <v>1865</v>
      </c>
      <c r="B99" s="126" t="s">
        <v>93</v>
      </c>
      <c r="C99" s="54" t="s">
        <v>628</v>
      </c>
      <c r="D99" s="127" t="s">
        <v>1866</v>
      </c>
      <c r="E99" s="126">
        <v>58000</v>
      </c>
      <c r="F99" s="126">
        <v>30</v>
      </c>
      <c r="G99" s="126">
        <v>3002</v>
      </c>
      <c r="H99" s="126" t="s">
        <v>630</v>
      </c>
      <c r="I99" s="126" t="s">
        <v>1867</v>
      </c>
      <c r="J99" s="126" t="s">
        <v>1868</v>
      </c>
      <c r="K99" s="126" t="s">
        <v>1869</v>
      </c>
      <c r="L99" s="126" t="s">
        <v>1870</v>
      </c>
      <c r="M99" s="128" t="s">
        <v>1871</v>
      </c>
      <c r="N99" s="126" t="s">
        <v>894</v>
      </c>
      <c r="O99" s="128" t="s">
        <v>1872</v>
      </c>
      <c r="P99" s="126" t="s">
        <v>1873</v>
      </c>
      <c r="Q99" s="126" t="s">
        <v>1874</v>
      </c>
      <c r="R99" s="126" t="s">
        <v>1875</v>
      </c>
      <c r="S99" s="126">
        <v>3000</v>
      </c>
      <c r="T99" s="126">
        <v>16138</v>
      </c>
      <c r="U99" s="126">
        <v>19138</v>
      </c>
      <c r="V99" s="126" t="s">
        <v>1019</v>
      </c>
      <c r="W99" s="129" t="s">
        <v>1876</v>
      </c>
      <c r="X99" t="s">
        <v>1877</v>
      </c>
      <c r="Y99" t="s">
        <v>644</v>
      </c>
      <c r="Z99" t="s">
        <v>645</v>
      </c>
    </row>
    <row r="100" spans="1:26" x14ac:dyDescent="0.3">
      <c r="A100" s="126" t="s">
        <v>1878</v>
      </c>
      <c r="B100" s="126" t="s">
        <v>93</v>
      </c>
      <c r="C100" s="54" t="s">
        <v>702</v>
      </c>
      <c r="D100" s="127" t="s">
        <v>1879</v>
      </c>
      <c r="E100" s="126">
        <v>41880</v>
      </c>
      <c r="F100" s="126">
        <v>38</v>
      </c>
      <c r="G100" s="126">
        <v>2163</v>
      </c>
      <c r="H100" s="126" t="s">
        <v>630</v>
      </c>
      <c r="I100" s="126" t="s">
        <v>1880</v>
      </c>
      <c r="J100" s="126" t="s">
        <v>1881</v>
      </c>
      <c r="K100" s="126" t="s">
        <v>1882</v>
      </c>
      <c r="L100" s="126" t="s">
        <v>931</v>
      </c>
      <c r="M100" s="128" t="s">
        <v>1575</v>
      </c>
      <c r="N100" s="126" t="s">
        <v>894</v>
      </c>
      <c r="O100" s="128" t="s">
        <v>1883</v>
      </c>
      <c r="P100" s="126" t="s">
        <v>1884</v>
      </c>
      <c r="Q100" s="126" t="s">
        <v>1885</v>
      </c>
      <c r="R100" s="126" t="s">
        <v>1886</v>
      </c>
      <c r="S100" s="126">
        <v>3000</v>
      </c>
      <c r="T100" s="126">
        <v>56822</v>
      </c>
      <c r="U100" s="126">
        <v>59822</v>
      </c>
      <c r="V100" s="126" t="s">
        <v>805</v>
      </c>
      <c r="W100" s="129" t="s">
        <v>1887</v>
      </c>
      <c r="X100" t="s">
        <v>1888</v>
      </c>
      <c r="Y100" t="s">
        <v>644</v>
      </c>
      <c r="Z100" t="s">
        <v>645</v>
      </c>
    </row>
    <row r="101" spans="1:26" x14ac:dyDescent="0.3">
      <c r="A101" s="126" t="s">
        <v>1889</v>
      </c>
      <c r="B101" s="126" t="s">
        <v>953</v>
      </c>
      <c r="C101" s="54" t="s">
        <v>702</v>
      </c>
      <c r="D101" s="127" t="s">
        <v>1890</v>
      </c>
      <c r="E101" s="126">
        <v>60486</v>
      </c>
      <c r="F101" s="126">
        <v>31</v>
      </c>
      <c r="G101" s="126">
        <v>3100</v>
      </c>
      <c r="H101" s="126" t="s">
        <v>630</v>
      </c>
      <c r="I101" s="126" t="s">
        <v>1891</v>
      </c>
      <c r="J101" s="126" t="s">
        <v>1892</v>
      </c>
      <c r="K101" s="126" t="s">
        <v>1893</v>
      </c>
      <c r="L101" s="126" t="s">
        <v>1894</v>
      </c>
      <c r="M101" s="128" t="s">
        <v>1895</v>
      </c>
      <c r="N101" s="126" t="s">
        <v>894</v>
      </c>
      <c r="O101" s="128" t="s">
        <v>1896</v>
      </c>
      <c r="P101" s="1" t="s">
        <v>682</v>
      </c>
      <c r="Q101" s="126" t="s">
        <v>1897</v>
      </c>
      <c r="R101" s="126" t="s">
        <v>1898</v>
      </c>
      <c r="S101" s="126">
        <v>3000</v>
      </c>
      <c r="T101" s="126">
        <v>52100</v>
      </c>
      <c r="U101" s="126">
        <v>55100</v>
      </c>
      <c r="V101" s="126" t="s">
        <v>992</v>
      </c>
      <c r="W101" s="129" t="s">
        <v>1899</v>
      </c>
      <c r="X101" t="s">
        <v>1900</v>
      </c>
      <c r="Y101" t="s">
        <v>644</v>
      </c>
      <c r="Z101" t="s">
        <v>645</v>
      </c>
    </row>
    <row r="102" spans="1:26" x14ac:dyDescent="0.3">
      <c r="A102" s="126" t="s">
        <v>1901</v>
      </c>
      <c r="B102" s="126" t="s">
        <v>953</v>
      </c>
      <c r="C102" s="54" t="s">
        <v>702</v>
      </c>
      <c r="D102" s="127" t="s">
        <v>1902</v>
      </c>
      <c r="E102" s="126">
        <v>67751</v>
      </c>
      <c r="F102" s="126">
        <v>24</v>
      </c>
      <c r="G102" s="126">
        <v>3331</v>
      </c>
      <c r="H102" s="126" t="s">
        <v>630</v>
      </c>
      <c r="I102" s="126" t="s">
        <v>1903</v>
      </c>
      <c r="J102" s="126" t="s">
        <v>1904</v>
      </c>
      <c r="K102" s="126" t="s">
        <v>1905</v>
      </c>
      <c r="L102" s="126" t="s">
        <v>1906</v>
      </c>
      <c r="M102" s="128" t="s">
        <v>1907</v>
      </c>
      <c r="N102" s="126" t="s">
        <v>894</v>
      </c>
      <c r="O102" s="128" t="s">
        <v>1908</v>
      </c>
      <c r="P102" s="126" t="s">
        <v>1909</v>
      </c>
      <c r="Q102" s="126" t="s">
        <v>1910</v>
      </c>
      <c r="R102" s="126" t="s">
        <v>1911</v>
      </c>
      <c r="S102" s="126">
        <v>3000</v>
      </c>
      <c r="T102" s="126">
        <v>44596</v>
      </c>
      <c r="U102" s="126">
        <v>47596</v>
      </c>
      <c r="V102" s="126" t="s">
        <v>1345</v>
      </c>
      <c r="W102" s="129" t="s">
        <v>1912</v>
      </c>
      <c r="X102" t="s">
        <v>1913</v>
      </c>
      <c r="Y102" t="s">
        <v>644</v>
      </c>
      <c r="Z102" t="s">
        <v>645</v>
      </c>
    </row>
    <row r="103" spans="1:26" x14ac:dyDescent="0.3">
      <c r="A103" s="126" t="s">
        <v>1914</v>
      </c>
      <c r="B103" s="126" t="s">
        <v>93</v>
      </c>
      <c r="C103" s="54" t="s">
        <v>702</v>
      </c>
      <c r="D103" s="127" t="s">
        <v>1915</v>
      </c>
      <c r="E103" s="126">
        <v>57284</v>
      </c>
      <c r="F103" s="126">
        <v>24</v>
      </c>
      <c r="G103" s="126">
        <v>2793</v>
      </c>
      <c r="H103" s="126" t="s">
        <v>630</v>
      </c>
      <c r="I103" s="126" t="s">
        <v>1916</v>
      </c>
      <c r="J103" s="126" t="s">
        <v>1917</v>
      </c>
      <c r="K103" s="126" t="s">
        <v>1918</v>
      </c>
      <c r="L103" s="126" t="s">
        <v>1784</v>
      </c>
      <c r="M103" s="128" t="s">
        <v>1919</v>
      </c>
      <c r="N103" s="126" t="s">
        <v>894</v>
      </c>
      <c r="O103" s="128" t="s">
        <v>1920</v>
      </c>
      <c r="P103" s="1" t="s">
        <v>682</v>
      </c>
      <c r="Q103" s="126" t="s">
        <v>1921</v>
      </c>
      <c r="R103" s="126" t="s">
        <v>1922</v>
      </c>
      <c r="S103" s="126">
        <v>3000</v>
      </c>
      <c r="T103" s="126">
        <v>13192</v>
      </c>
      <c r="U103" s="126">
        <v>16192</v>
      </c>
      <c r="V103" s="126" t="s">
        <v>1923</v>
      </c>
      <c r="W103" s="129" t="s">
        <v>1924</v>
      </c>
      <c r="X103" t="s">
        <v>1925</v>
      </c>
      <c r="Y103" t="s">
        <v>644</v>
      </c>
      <c r="Z103" t="s">
        <v>645</v>
      </c>
    </row>
    <row r="104" spans="1:26" x14ac:dyDescent="0.3">
      <c r="A104" s="126" t="s">
        <v>1926</v>
      </c>
      <c r="B104" s="126" t="s">
        <v>89</v>
      </c>
      <c r="C104" s="54" t="s">
        <v>702</v>
      </c>
      <c r="D104" s="127" t="s">
        <v>1209</v>
      </c>
      <c r="E104" s="126">
        <v>59492</v>
      </c>
      <c r="F104" s="126">
        <v>28</v>
      </c>
      <c r="G104" s="126">
        <v>3040</v>
      </c>
      <c r="H104" s="126" t="s">
        <v>630</v>
      </c>
      <c r="I104" s="126" t="s">
        <v>1927</v>
      </c>
      <c r="J104" s="126" t="s">
        <v>1928</v>
      </c>
      <c r="K104" s="126" t="s">
        <v>1929</v>
      </c>
      <c r="L104" s="126" t="s">
        <v>1930</v>
      </c>
      <c r="M104" s="128" t="s">
        <v>1931</v>
      </c>
      <c r="N104" s="126" t="s">
        <v>894</v>
      </c>
      <c r="O104" s="128" t="s">
        <v>1932</v>
      </c>
      <c r="P104" s="1" t="s">
        <v>682</v>
      </c>
      <c r="Q104" s="126" t="s">
        <v>1933</v>
      </c>
      <c r="R104" s="126" t="s">
        <v>1934</v>
      </c>
      <c r="S104" s="126">
        <v>3000</v>
      </c>
      <c r="T104" s="126">
        <v>42955</v>
      </c>
      <c r="U104" s="126">
        <v>45955</v>
      </c>
      <c r="V104" s="126" t="s">
        <v>698</v>
      </c>
      <c r="W104" s="129" t="s">
        <v>1935</v>
      </c>
      <c r="X104" t="s">
        <v>1936</v>
      </c>
      <c r="Y104" t="s">
        <v>644</v>
      </c>
      <c r="Z104" t="s">
        <v>645</v>
      </c>
    </row>
    <row r="105" spans="1:26" x14ac:dyDescent="0.3">
      <c r="A105" s="126" t="s">
        <v>1937</v>
      </c>
      <c r="B105" s="126" t="s">
        <v>89</v>
      </c>
      <c r="C105" s="54" t="s">
        <v>702</v>
      </c>
      <c r="D105" s="127" t="s">
        <v>1938</v>
      </c>
      <c r="E105" s="126">
        <v>46748</v>
      </c>
      <c r="F105" s="126">
        <v>37</v>
      </c>
      <c r="G105" s="126">
        <v>2077</v>
      </c>
      <c r="H105" s="126" t="s">
        <v>630</v>
      </c>
      <c r="I105" s="126" t="s">
        <v>1939</v>
      </c>
      <c r="J105" s="126" t="s">
        <v>1940</v>
      </c>
      <c r="K105" s="126" t="s">
        <v>1941</v>
      </c>
      <c r="L105" s="126" t="s">
        <v>1942</v>
      </c>
      <c r="M105" s="128" t="s">
        <v>1943</v>
      </c>
      <c r="N105" s="126" t="s">
        <v>894</v>
      </c>
      <c r="O105" s="128" t="s">
        <v>1944</v>
      </c>
      <c r="P105" s="126" t="s">
        <v>1945</v>
      </c>
      <c r="Q105" s="126" t="s">
        <v>1946</v>
      </c>
      <c r="R105" s="126" t="s">
        <v>1947</v>
      </c>
      <c r="S105" s="126">
        <v>3000</v>
      </c>
      <c r="T105" s="126">
        <v>59248</v>
      </c>
      <c r="U105" s="126">
        <v>62248</v>
      </c>
      <c r="V105" s="126" t="s">
        <v>685</v>
      </c>
      <c r="W105" s="129" t="s">
        <v>1948</v>
      </c>
      <c r="X105" t="s">
        <v>1949</v>
      </c>
      <c r="Y105" t="s">
        <v>644</v>
      </c>
      <c r="Z105" t="s">
        <v>645</v>
      </c>
    </row>
    <row r="106" spans="1:26" x14ac:dyDescent="0.3">
      <c r="A106" s="126" t="s">
        <v>1950</v>
      </c>
      <c r="B106" s="126" t="s">
        <v>1094</v>
      </c>
      <c r="C106" s="1" t="s">
        <v>682</v>
      </c>
      <c r="D106" s="127" t="s">
        <v>1951</v>
      </c>
      <c r="E106" s="126">
        <v>65800</v>
      </c>
      <c r="F106" s="126">
        <v>24</v>
      </c>
      <c r="G106" s="126">
        <v>3499</v>
      </c>
      <c r="H106" s="126" t="s">
        <v>630</v>
      </c>
      <c r="I106" s="126" t="s">
        <v>1952</v>
      </c>
      <c r="J106" s="126" t="s">
        <v>1953</v>
      </c>
      <c r="K106" s="126" t="s">
        <v>1954</v>
      </c>
      <c r="L106" s="126" t="s">
        <v>1955</v>
      </c>
      <c r="M106" s="128" t="s">
        <v>1956</v>
      </c>
      <c r="N106" s="126" t="s">
        <v>894</v>
      </c>
      <c r="O106" s="128" t="s">
        <v>1957</v>
      </c>
      <c r="P106" s="126" t="s">
        <v>1958</v>
      </c>
      <c r="Q106" s="126" t="s">
        <v>1959</v>
      </c>
      <c r="R106" s="126" t="s">
        <v>1960</v>
      </c>
      <c r="S106" s="126">
        <v>3000</v>
      </c>
      <c r="T106" s="126">
        <v>68115</v>
      </c>
      <c r="U106" s="126">
        <v>71115</v>
      </c>
      <c r="V106" s="126" t="s">
        <v>768</v>
      </c>
      <c r="W106" s="129" t="s">
        <v>1961</v>
      </c>
      <c r="X106" t="s">
        <v>1962</v>
      </c>
      <c r="Y106" t="s">
        <v>644</v>
      </c>
      <c r="Z106" t="s">
        <v>645</v>
      </c>
    </row>
    <row r="107" spans="1:26" x14ac:dyDescent="0.3">
      <c r="A107" s="126" t="s">
        <v>1963</v>
      </c>
      <c r="B107" s="126" t="s">
        <v>1094</v>
      </c>
      <c r="C107" s="54" t="s">
        <v>661</v>
      </c>
      <c r="D107" s="127" t="s">
        <v>1964</v>
      </c>
      <c r="E107" s="126">
        <v>89900</v>
      </c>
      <c r="F107" s="126">
        <v>36</v>
      </c>
      <c r="G107" s="126">
        <v>3636</v>
      </c>
      <c r="H107" s="126" t="s">
        <v>630</v>
      </c>
      <c r="I107" s="126" t="s">
        <v>1965</v>
      </c>
      <c r="J107" s="126" t="s">
        <v>1966</v>
      </c>
      <c r="K107" s="126" t="s">
        <v>1967</v>
      </c>
      <c r="L107" s="126" t="s">
        <v>1968</v>
      </c>
      <c r="M107" s="128" t="s">
        <v>1969</v>
      </c>
      <c r="N107" s="126" t="s">
        <v>894</v>
      </c>
      <c r="O107" s="128" t="s">
        <v>1970</v>
      </c>
      <c r="P107" s="1" t="s">
        <v>682</v>
      </c>
      <c r="Q107" s="126" t="s">
        <v>1971</v>
      </c>
      <c r="R107" s="126" t="s">
        <v>1972</v>
      </c>
      <c r="S107" s="126">
        <v>3000</v>
      </c>
      <c r="T107" s="126">
        <v>83427</v>
      </c>
      <c r="U107" s="126">
        <v>86427</v>
      </c>
      <c r="V107" s="126" t="s">
        <v>1369</v>
      </c>
      <c r="W107" s="129" t="s">
        <v>1973</v>
      </c>
      <c r="X107" t="s">
        <v>1974</v>
      </c>
      <c r="Y107" t="s">
        <v>644</v>
      </c>
      <c r="Z107" t="s">
        <v>645</v>
      </c>
    </row>
    <row r="108" spans="1:26" x14ac:dyDescent="0.3">
      <c r="A108" s="126" t="s">
        <v>1975</v>
      </c>
      <c r="B108" s="126" t="s">
        <v>887</v>
      </c>
      <c r="C108" s="54" t="s">
        <v>661</v>
      </c>
      <c r="D108" s="127" t="s">
        <v>1976</v>
      </c>
      <c r="E108" s="126">
        <v>45608</v>
      </c>
      <c r="F108" s="126">
        <v>31</v>
      </c>
      <c r="G108" s="126">
        <v>2376</v>
      </c>
      <c r="H108" s="126" t="s">
        <v>630</v>
      </c>
      <c r="I108" s="126" t="s">
        <v>1977</v>
      </c>
      <c r="J108" s="126" t="s">
        <v>1978</v>
      </c>
      <c r="K108" s="126" t="s">
        <v>1979</v>
      </c>
      <c r="L108" s="126" t="s">
        <v>1980</v>
      </c>
      <c r="M108" s="128" t="s">
        <v>1981</v>
      </c>
      <c r="N108" s="126" t="s">
        <v>894</v>
      </c>
      <c r="O108" s="128" t="s">
        <v>1982</v>
      </c>
      <c r="P108" s="126" t="s">
        <v>1983</v>
      </c>
      <c r="Q108" s="126" t="s">
        <v>1984</v>
      </c>
      <c r="R108" s="126" t="s">
        <v>1985</v>
      </c>
      <c r="S108" s="126">
        <v>3000</v>
      </c>
      <c r="T108" s="126">
        <v>74016</v>
      </c>
      <c r="U108" s="126">
        <v>77016</v>
      </c>
      <c r="V108" s="126" t="s">
        <v>1005</v>
      </c>
      <c r="W108" s="129" t="s">
        <v>1986</v>
      </c>
      <c r="X108" t="s">
        <v>1987</v>
      </c>
      <c r="Y108" t="s">
        <v>644</v>
      </c>
      <c r="Z108" t="s">
        <v>645</v>
      </c>
    </row>
    <row r="109" spans="1:26" x14ac:dyDescent="0.3">
      <c r="A109" s="126" t="s">
        <v>1988</v>
      </c>
      <c r="B109" s="126" t="s">
        <v>953</v>
      </c>
      <c r="C109" s="54" t="s">
        <v>702</v>
      </c>
      <c r="D109" s="127" t="s">
        <v>1890</v>
      </c>
      <c r="E109" s="126">
        <v>54514</v>
      </c>
      <c r="F109" s="126">
        <v>40</v>
      </c>
      <c r="G109" s="126">
        <v>2196</v>
      </c>
      <c r="H109" s="126" t="s">
        <v>630</v>
      </c>
      <c r="I109" s="126" t="s">
        <v>1989</v>
      </c>
      <c r="J109" s="126" t="s">
        <v>1990</v>
      </c>
      <c r="K109" s="126" t="s">
        <v>1991</v>
      </c>
      <c r="L109" s="126" t="s">
        <v>1992</v>
      </c>
      <c r="M109" s="128" t="s">
        <v>1993</v>
      </c>
      <c r="N109" s="126" t="s">
        <v>894</v>
      </c>
      <c r="O109" s="128" t="s">
        <v>1994</v>
      </c>
      <c r="P109" s="1" t="s">
        <v>682</v>
      </c>
      <c r="Q109" s="126" t="s">
        <v>1995</v>
      </c>
      <c r="R109" s="126" t="s">
        <v>1996</v>
      </c>
      <c r="S109" s="126">
        <v>3000</v>
      </c>
      <c r="T109" s="126">
        <v>53477</v>
      </c>
      <c r="U109" s="126">
        <v>56477</v>
      </c>
      <c r="V109" s="126" t="s">
        <v>1105</v>
      </c>
      <c r="W109" s="129" t="s">
        <v>1997</v>
      </c>
      <c r="X109" t="s">
        <v>1998</v>
      </c>
      <c r="Y109" t="s">
        <v>644</v>
      </c>
      <c r="Z109" t="s">
        <v>645</v>
      </c>
    </row>
    <row r="110" spans="1:26" x14ac:dyDescent="0.3">
      <c r="A110" s="126" t="s">
        <v>1999</v>
      </c>
      <c r="B110" s="126" t="s">
        <v>953</v>
      </c>
      <c r="C110" s="54" t="s">
        <v>702</v>
      </c>
      <c r="D110" s="127" t="s">
        <v>2000</v>
      </c>
      <c r="E110" s="126">
        <v>74227</v>
      </c>
      <c r="F110" s="126">
        <v>30</v>
      </c>
      <c r="G110" s="126">
        <v>3186</v>
      </c>
      <c r="H110" s="126" t="s">
        <v>630</v>
      </c>
      <c r="I110" s="126" t="s">
        <v>2001</v>
      </c>
      <c r="J110" s="126" t="s">
        <v>2002</v>
      </c>
      <c r="K110" s="126" t="s">
        <v>2003</v>
      </c>
      <c r="L110" s="126" t="s">
        <v>2004</v>
      </c>
      <c r="M110" s="128" t="s">
        <v>2005</v>
      </c>
      <c r="N110" s="126" t="s">
        <v>894</v>
      </c>
      <c r="O110" s="128" t="s">
        <v>2006</v>
      </c>
      <c r="P110" s="126" t="s">
        <v>2007</v>
      </c>
      <c r="Q110" s="126" t="s">
        <v>2008</v>
      </c>
      <c r="R110" s="126" t="s">
        <v>2009</v>
      </c>
      <c r="S110" s="126">
        <v>3000</v>
      </c>
      <c r="T110" s="126">
        <v>42260</v>
      </c>
      <c r="U110" s="126">
        <v>45260</v>
      </c>
      <c r="V110" s="126" t="s">
        <v>1318</v>
      </c>
      <c r="W110" s="129" t="s">
        <v>2010</v>
      </c>
      <c r="X110" t="s">
        <v>2011</v>
      </c>
      <c r="Y110" t="s">
        <v>644</v>
      </c>
      <c r="Z110" t="s">
        <v>645</v>
      </c>
    </row>
    <row r="111" spans="1:26" x14ac:dyDescent="0.3">
      <c r="A111" s="126" t="s">
        <v>2012</v>
      </c>
      <c r="B111" s="126" t="s">
        <v>1307</v>
      </c>
      <c r="C111" s="54" t="s">
        <v>661</v>
      </c>
      <c r="D111" s="127" t="s">
        <v>2013</v>
      </c>
      <c r="E111" s="126">
        <v>83400</v>
      </c>
      <c r="F111" s="126">
        <v>48</v>
      </c>
      <c r="G111" s="126">
        <v>3301</v>
      </c>
      <c r="H111" s="126" t="s">
        <v>630</v>
      </c>
      <c r="I111" s="126" t="s">
        <v>2014</v>
      </c>
      <c r="J111" s="126" t="s">
        <v>2015</v>
      </c>
      <c r="K111" s="126" t="s">
        <v>2016</v>
      </c>
      <c r="L111" s="126" t="s">
        <v>1440</v>
      </c>
      <c r="M111" s="128" t="s">
        <v>2017</v>
      </c>
      <c r="N111" s="126" t="s">
        <v>894</v>
      </c>
      <c r="O111" s="128" t="s">
        <v>2018</v>
      </c>
      <c r="P111" s="126" t="s">
        <v>2019</v>
      </c>
      <c r="Q111" s="126" t="s">
        <v>2020</v>
      </c>
      <c r="R111" s="126" t="s">
        <v>2021</v>
      </c>
      <c r="S111" s="126">
        <v>3000</v>
      </c>
      <c r="T111" s="126">
        <v>152109</v>
      </c>
      <c r="U111" s="126">
        <v>155109</v>
      </c>
      <c r="V111" s="126" t="s">
        <v>1303</v>
      </c>
      <c r="W111" s="129" t="s">
        <v>2022</v>
      </c>
      <c r="X111" t="s">
        <v>2023</v>
      </c>
      <c r="Y111" t="s">
        <v>644</v>
      </c>
      <c r="Z111" t="s">
        <v>645</v>
      </c>
    </row>
    <row r="112" spans="1:26" x14ac:dyDescent="0.3">
      <c r="A112" s="126" t="s">
        <v>2024</v>
      </c>
      <c r="B112" s="126" t="s">
        <v>1094</v>
      </c>
      <c r="C112" s="54" t="s">
        <v>661</v>
      </c>
      <c r="D112" s="127" t="s">
        <v>2025</v>
      </c>
      <c r="E112" s="126">
        <v>38079</v>
      </c>
      <c r="F112" s="126">
        <v>27</v>
      </c>
      <c r="G112" s="126">
        <v>2481</v>
      </c>
      <c r="H112" s="126" t="s">
        <v>630</v>
      </c>
      <c r="I112" s="126" t="s">
        <v>2026</v>
      </c>
      <c r="J112" s="126" t="s">
        <v>2027</v>
      </c>
      <c r="K112" s="126" t="s">
        <v>2028</v>
      </c>
      <c r="L112" s="126" t="s">
        <v>2029</v>
      </c>
      <c r="M112" s="128" t="s">
        <v>2030</v>
      </c>
      <c r="N112" s="126" t="s">
        <v>894</v>
      </c>
      <c r="O112" s="128" t="s">
        <v>2031</v>
      </c>
      <c r="P112" s="126" t="s">
        <v>2032</v>
      </c>
      <c r="Q112" s="126" t="s">
        <v>2033</v>
      </c>
      <c r="R112" s="126" t="s">
        <v>2034</v>
      </c>
      <c r="S112" s="126">
        <v>3000</v>
      </c>
      <c r="T112" s="126">
        <v>63944</v>
      </c>
      <c r="U112" s="126">
        <v>66944</v>
      </c>
      <c r="V112" s="126" t="s">
        <v>817</v>
      </c>
      <c r="W112" s="129" t="s">
        <v>2035</v>
      </c>
      <c r="X112" t="s">
        <v>2036</v>
      </c>
      <c r="Y112" t="s">
        <v>644</v>
      </c>
      <c r="Z112" t="s">
        <v>645</v>
      </c>
    </row>
    <row r="113" spans="1:26" x14ac:dyDescent="0.3">
      <c r="A113" s="126" t="s">
        <v>2037</v>
      </c>
      <c r="B113" s="126" t="s">
        <v>887</v>
      </c>
      <c r="C113" s="54" t="s">
        <v>661</v>
      </c>
      <c r="D113" s="127" t="s">
        <v>2038</v>
      </c>
      <c r="E113" s="126">
        <v>38900</v>
      </c>
      <c r="F113" s="126">
        <v>22</v>
      </c>
      <c r="G113" s="126">
        <v>2551</v>
      </c>
      <c r="H113" s="126" t="s">
        <v>630</v>
      </c>
      <c r="I113" s="126" t="s">
        <v>2039</v>
      </c>
      <c r="J113" s="126" t="s">
        <v>2040</v>
      </c>
      <c r="K113" s="126" t="s">
        <v>2041</v>
      </c>
      <c r="L113" s="126" t="s">
        <v>2042</v>
      </c>
      <c r="M113" s="128" t="s">
        <v>2043</v>
      </c>
      <c r="N113" s="126" t="s">
        <v>894</v>
      </c>
      <c r="O113" s="128" t="s">
        <v>2044</v>
      </c>
      <c r="P113" s="126" t="s">
        <v>2045</v>
      </c>
      <c r="Q113" s="126" t="s">
        <v>2046</v>
      </c>
      <c r="R113" s="126" t="s">
        <v>2047</v>
      </c>
      <c r="S113" s="126">
        <v>3000</v>
      </c>
      <c r="T113" s="126">
        <v>38689</v>
      </c>
      <c r="U113" s="126">
        <v>41689</v>
      </c>
      <c r="V113" s="126" t="s">
        <v>1141</v>
      </c>
      <c r="W113" s="129" t="s">
        <v>2048</v>
      </c>
      <c r="X113" t="s">
        <v>2049</v>
      </c>
      <c r="Y113" t="s">
        <v>644</v>
      </c>
      <c r="Z113" t="s">
        <v>645</v>
      </c>
    </row>
    <row r="114" spans="1:26" x14ac:dyDescent="0.3">
      <c r="A114" s="126" t="s">
        <v>2050</v>
      </c>
      <c r="B114" s="126" t="s">
        <v>1094</v>
      </c>
      <c r="C114" s="54" t="s">
        <v>661</v>
      </c>
      <c r="D114" s="127" t="s">
        <v>2051</v>
      </c>
      <c r="E114" s="126">
        <v>41899</v>
      </c>
      <c r="F114" s="126">
        <v>18</v>
      </c>
      <c r="G114" s="126">
        <v>2572</v>
      </c>
      <c r="H114" s="126" t="s">
        <v>630</v>
      </c>
      <c r="I114" s="126" t="s">
        <v>2052</v>
      </c>
      <c r="J114" s="126" t="s">
        <v>2053</v>
      </c>
      <c r="K114" s="126" t="s">
        <v>2054</v>
      </c>
      <c r="L114" s="126" t="s">
        <v>1955</v>
      </c>
      <c r="M114" s="128" t="s">
        <v>2055</v>
      </c>
      <c r="N114" s="126" t="s">
        <v>894</v>
      </c>
      <c r="O114" s="128" t="s">
        <v>2056</v>
      </c>
      <c r="P114" s="1" t="s">
        <v>682</v>
      </c>
      <c r="Q114" s="126" t="s">
        <v>2057</v>
      </c>
      <c r="R114" s="126" t="s">
        <v>2058</v>
      </c>
      <c r="S114" s="126">
        <v>3000</v>
      </c>
      <c r="T114" s="126">
        <v>41546</v>
      </c>
      <c r="U114" s="126">
        <v>44546</v>
      </c>
      <c r="V114" s="126" t="s">
        <v>1078</v>
      </c>
      <c r="W114" s="129" t="s">
        <v>2059</v>
      </c>
      <c r="X114" t="s">
        <v>2060</v>
      </c>
      <c r="Y114" t="s">
        <v>644</v>
      </c>
      <c r="Z114" t="s">
        <v>645</v>
      </c>
    </row>
    <row r="115" spans="1:26" x14ac:dyDescent="0.3">
      <c r="A115" s="126" t="s">
        <v>2061</v>
      </c>
      <c r="B115" s="126" t="s">
        <v>93</v>
      </c>
      <c r="C115" s="54" t="s">
        <v>702</v>
      </c>
      <c r="D115" s="127" t="s">
        <v>2062</v>
      </c>
      <c r="E115" s="126">
        <v>43436</v>
      </c>
      <c r="F115" s="126">
        <v>28</v>
      </c>
      <c r="G115" s="126">
        <v>2299</v>
      </c>
      <c r="H115" s="126" t="s">
        <v>630</v>
      </c>
      <c r="I115" s="126" t="s">
        <v>2063</v>
      </c>
      <c r="J115" s="126" t="s">
        <v>2064</v>
      </c>
      <c r="K115" s="126" t="s">
        <v>2065</v>
      </c>
      <c r="L115" s="126" t="s">
        <v>2066</v>
      </c>
      <c r="M115" s="128" t="s">
        <v>2067</v>
      </c>
      <c r="N115" s="126" t="s">
        <v>894</v>
      </c>
      <c r="O115" s="128" t="s">
        <v>2068</v>
      </c>
      <c r="P115" s="126" t="s">
        <v>2069</v>
      </c>
      <c r="Q115" s="126" t="s">
        <v>2070</v>
      </c>
      <c r="R115" s="126" t="s">
        <v>2071</v>
      </c>
      <c r="S115" s="126">
        <v>3000</v>
      </c>
      <c r="T115" s="126">
        <v>54213</v>
      </c>
      <c r="U115" s="126">
        <v>57213</v>
      </c>
      <c r="V115" s="126" t="s">
        <v>1105</v>
      </c>
      <c r="W115" s="129" t="s">
        <v>2072</v>
      </c>
      <c r="X115" t="s">
        <v>2073</v>
      </c>
      <c r="Y115" t="s">
        <v>644</v>
      </c>
      <c r="Z115" t="s">
        <v>645</v>
      </c>
    </row>
    <row r="116" spans="1:26" x14ac:dyDescent="0.3">
      <c r="A116" s="126" t="s">
        <v>2074</v>
      </c>
      <c r="B116" s="126" t="s">
        <v>953</v>
      </c>
      <c r="C116" s="54" t="s">
        <v>1335</v>
      </c>
      <c r="D116" s="127" t="s">
        <v>2075</v>
      </c>
      <c r="E116" s="126">
        <v>48900</v>
      </c>
      <c r="F116" s="126">
        <v>24</v>
      </c>
      <c r="G116" s="126">
        <v>2767</v>
      </c>
      <c r="H116" s="126" t="s">
        <v>630</v>
      </c>
      <c r="I116" s="126" t="s">
        <v>2076</v>
      </c>
      <c r="J116" s="126" t="s">
        <v>2077</v>
      </c>
      <c r="K116" s="126" t="s">
        <v>2078</v>
      </c>
      <c r="L116" s="126" t="s">
        <v>958</v>
      </c>
      <c r="M116" s="128" t="s">
        <v>2079</v>
      </c>
      <c r="N116" s="126" t="s">
        <v>894</v>
      </c>
      <c r="O116" s="128" t="s">
        <v>2080</v>
      </c>
      <c r="P116" s="1" t="s">
        <v>682</v>
      </c>
      <c r="Q116" s="126" t="s">
        <v>2081</v>
      </c>
      <c r="R116" s="126" t="s">
        <v>2082</v>
      </c>
      <c r="S116" s="126">
        <v>3000</v>
      </c>
      <c r="T116" s="126">
        <v>27044</v>
      </c>
      <c r="U116" s="126">
        <v>30044</v>
      </c>
      <c r="V116" s="126" t="s">
        <v>2083</v>
      </c>
      <c r="W116" s="129" t="s">
        <v>2084</v>
      </c>
      <c r="X116" t="s">
        <v>2085</v>
      </c>
      <c r="Y116" t="s">
        <v>644</v>
      </c>
      <c r="Z116" t="s">
        <v>645</v>
      </c>
    </row>
    <row r="117" spans="1:26" x14ac:dyDescent="0.3">
      <c r="A117" s="126" t="s">
        <v>2086</v>
      </c>
      <c r="B117" s="126" t="s">
        <v>2087</v>
      </c>
      <c r="C117" s="54" t="s">
        <v>702</v>
      </c>
      <c r="D117" s="127" t="s">
        <v>2088</v>
      </c>
      <c r="E117" s="126">
        <v>101899</v>
      </c>
      <c r="F117" s="126">
        <v>36</v>
      </c>
      <c r="G117" s="126">
        <v>3850</v>
      </c>
      <c r="H117" s="126" t="s">
        <v>630</v>
      </c>
      <c r="I117" s="126" t="s">
        <v>2089</v>
      </c>
      <c r="J117" s="126" t="s">
        <v>2090</v>
      </c>
      <c r="K117" s="126" t="s">
        <v>2091</v>
      </c>
      <c r="L117" s="126" t="s">
        <v>2092</v>
      </c>
      <c r="M117" s="128" t="s">
        <v>2093</v>
      </c>
      <c r="N117" s="126" t="s">
        <v>894</v>
      </c>
      <c r="O117" s="128" t="s">
        <v>2094</v>
      </c>
      <c r="P117" s="1" t="s">
        <v>682</v>
      </c>
      <c r="Q117" s="126" t="s">
        <v>2095</v>
      </c>
      <c r="R117" s="126" t="s">
        <v>2096</v>
      </c>
      <c r="S117" s="126">
        <v>3000</v>
      </c>
      <c r="T117" s="126">
        <v>124503</v>
      </c>
      <c r="U117" s="126">
        <v>127503</v>
      </c>
      <c r="V117" s="126" t="s">
        <v>742</v>
      </c>
      <c r="W117" s="129" t="s">
        <v>2097</v>
      </c>
      <c r="X117" t="s">
        <v>2098</v>
      </c>
      <c r="Y117" t="s">
        <v>644</v>
      </c>
      <c r="Z117" t="s">
        <v>645</v>
      </c>
    </row>
    <row r="118" spans="1:26" x14ac:dyDescent="0.3">
      <c r="A118" s="126" t="s">
        <v>2099</v>
      </c>
      <c r="B118" s="126" t="s">
        <v>887</v>
      </c>
      <c r="C118" s="1" t="s">
        <v>682</v>
      </c>
      <c r="D118" s="127" t="s">
        <v>2100</v>
      </c>
      <c r="E118" s="126">
        <v>51100</v>
      </c>
      <c r="F118" s="126">
        <v>36</v>
      </c>
      <c r="G118" s="126">
        <v>2768</v>
      </c>
      <c r="H118" s="126" t="s">
        <v>630</v>
      </c>
      <c r="I118" s="126" t="s">
        <v>2101</v>
      </c>
      <c r="J118" s="126" t="s">
        <v>2102</v>
      </c>
      <c r="K118" s="126" t="s">
        <v>2103</v>
      </c>
      <c r="L118" s="126" t="s">
        <v>1980</v>
      </c>
      <c r="M118" s="128" t="s">
        <v>2104</v>
      </c>
      <c r="N118" s="126" t="s">
        <v>894</v>
      </c>
      <c r="O118" s="128" t="s">
        <v>2105</v>
      </c>
      <c r="P118" s="126" t="s">
        <v>2106</v>
      </c>
      <c r="Q118" s="126" t="s">
        <v>2107</v>
      </c>
      <c r="R118" s="126" t="s">
        <v>2108</v>
      </c>
      <c r="S118" s="126">
        <v>3000</v>
      </c>
      <c r="T118" s="126">
        <v>40165</v>
      </c>
      <c r="U118" s="126">
        <v>43165</v>
      </c>
      <c r="V118" s="126" t="s">
        <v>992</v>
      </c>
      <c r="W118" s="129" t="s">
        <v>2109</v>
      </c>
      <c r="X118" t="s">
        <v>2110</v>
      </c>
      <c r="Y118" t="s">
        <v>644</v>
      </c>
      <c r="Z118" t="s">
        <v>645</v>
      </c>
    </row>
    <row r="119" spans="1:26" x14ac:dyDescent="0.3">
      <c r="A119" s="126" t="s">
        <v>2111</v>
      </c>
      <c r="B119" s="126" t="s">
        <v>93</v>
      </c>
      <c r="C119" s="54" t="s">
        <v>661</v>
      </c>
      <c r="D119" s="127" t="s">
        <v>2112</v>
      </c>
      <c r="E119" s="126">
        <v>59000</v>
      </c>
      <c r="F119" s="126">
        <v>24</v>
      </c>
      <c r="G119" s="126">
        <v>2901</v>
      </c>
      <c r="H119" s="126" t="s">
        <v>630</v>
      </c>
      <c r="I119" s="126" t="s">
        <v>2113</v>
      </c>
      <c r="J119" s="126" t="s">
        <v>2114</v>
      </c>
      <c r="K119" s="126" t="s">
        <v>2115</v>
      </c>
      <c r="L119" s="126" t="s">
        <v>2066</v>
      </c>
      <c r="M119" s="128" t="s">
        <v>2116</v>
      </c>
      <c r="N119" s="126" t="s">
        <v>894</v>
      </c>
      <c r="O119" s="128" t="s">
        <v>2117</v>
      </c>
      <c r="P119" s="1" t="s">
        <v>682</v>
      </c>
      <c r="Q119" s="126" t="s">
        <v>2118</v>
      </c>
      <c r="R119" s="126" t="s">
        <v>2119</v>
      </c>
      <c r="S119" s="126">
        <v>3000</v>
      </c>
      <c r="T119" s="126">
        <v>33616</v>
      </c>
      <c r="U119" s="126">
        <v>36616</v>
      </c>
      <c r="V119" s="126" t="s">
        <v>1593</v>
      </c>
      <c r="W119" s="129" t="s">
        <v>2120</v>
      </c>
      <c r="X119" t="s">
        <v>2121</v>
      </c>
      <c r="Y119" t="s">
        <v>644</v>
      </c>
      <c r="Z119" t="s">
        <v>645</v>
      </c>
    </row>
    <row r="120" spans="1:26" x14ac:dyDescent="0.3">
      <c r="A120" s="126" t="s">
        <v>2122</v>
      </c>
      <c r="B120" s="126" t="s">
        <v>1094</v>
      </c>
      <c r="C120" s="54" t="s">
        <v>702</v>
      </c>
      <c r="D120" s="127" t="s">
        <v>2123</v>
      </c>
      <c r="E120" s="126">
        <v>39900</v>
      </c>
      <c r="F120" s="126">
        <v>36</v>
      </c>
      <c r="G120" s="126">
        <v>1683</v>
      </c>
      <c r="H120" s="126" t="s">
        <v>630</v>
      </c>
      <c r="I120" s="126" t="s">
        <v>2124</v>
      </c>
      <c r="J120" s="126" t="s">
        <v>2125</v>
      </c>
      <c r="K120" s="126" t="s">
        <v>2126</v>
      </c>
      <c r="L120" s="126" t="s">
        <v>2127</v>
      </c>
      <c r="M120" s="128" t="s">
        <v>2128</v>
      </c>
      <c r="N120" s="126" t="s">
        <v>894</v>
      </c>
      <c r="O120" s="128" t="s">
        <v>2129</v>
      </c>
      <c r="P120" s="1" t="s">
        <v>682</v>
      </c>
      <c r="Q120" s="126" t="s">
        <v>2130</v>
      </c>
      <c r="R120" s="126" t="s">
        <v>2131</v>
      </c>
      <c r="S120" s="126">
        <v>3000</v>
      </c>
      <c r="T120" s="126">
        <v>86513</v>
      </c>
      <c r="U120" s="126">
        <v>89513</v>
      </c>
      <c r="V120" s="126" t="s">
        <v>817</v>
      </c>
      <c r="W120" s="129" t="s">
        <v>2132</v>
      </c>
      <c r="X120" t="s">
        <v>2133</v>
      </c>
      <c r="Y120" t="s">
        <v>644</v>
      </c>
      <c r="Z120" t="s">
        <v>645</v>
      </c>
    </row>
    <row r="121" spans="1:26" x14ac:dyDescent="0.3">
      <c r="A121" s="126" t="s">
        <v>2134</v>
      </c>
      <c r="B121" s="126" t="s">
        <v>887</v>
      </c>
      <c r="C121" s="54" t="s">
        <v>1335</v>
      </c>
      <c r="D121" s="127" t="s">
        <v>2135</v>
      </c>
      <c r="E121" s="126">
        <v>36136</v>
      </c>
      <c r="F121" s="126">
        <v>25</v>
      </c>
      <c r="G121" s="126">
        <v>2475</v>
      </c>
      <c r="H121" s="126" t="s">
        <v>630</v>
      </c>
      <c r="I121" s="126" t="s">
        <v>2136</v>
      </c>
      <c r="J121" s="126" t="s">
        <v>2137</v>
      </c>
      <c r="K121" s="126" t="s">
        <v>2138</v>
      </c>
      <c r="L121" s="126" t="s">
        <v>2139</v>
      </c>
      <c r="M121" s="128" t="s">
        <v>2140</v>
      </c>
      <c r="N121" s="126" t="s">
        <v>894</v>
      </c>
      <c r="O121" s="128" t="s">
        <v>2141</v>
      </c>
      <c r="P121" s="126" t="s">
        <v>2142</v>
      </c>
      <c r="Q121" s="126" t="s">
        <v>2143</v>
      </c>
      <c r="R121" s="126" t="s">
        <v>2144</v>
      </c>
      <c r="S121" s="126">
        <v>3000</v>
      </c>
      <c r="T121" s="126">
        <v>26404</v>
      </c>
      <c r="U121" s="126">
        <v>29404</v>
      </c>
      <c r="V121" s="126" t="s">
        <v>817</v>
      </c>
      <c r="W121" s="129" t="s">
        <v>2145</v>
      </c>
      <c r="X121" t="s">
        <v>2146</v>
      </c>
      <c r="Y121" t="s">
        <v>644</v>
      </c>
      <c r="Z121" t="s">
        <v>645</v>
      </c>
    </row>
    <row r="122" spans="1:26" x14ac:dyDescent="0.3">
      <c r="A122" s="126" t="s">
        <v>2147</v>
      </c>
      <c r="B122" s="126" t="s">
        <v>93</v>
      </c>
      <c r="C122" s="54" t="s">
        <v>661</v>
      </c>
      <c r="D122" s="127" t="s">
        <v>2148</v>
      </c>
      <c r="E122" s="126">
        <v>55000</v>
      </c>
      <c r="F122" s="126">
        <v>24</v>
      </c>
      <c r="G122" s="126">
        <v>2961</v>
      </c>
      <c r="H122" s="126" t="s">
        <v>630</v>
      </c>
      <c r="I122" s="126" t="s">
        <v>2149</v>
      </c>
      <c r="J122" s="126" t="s">
        <v>2150</v>
      </c>
      <c r="K122" s="126" t="s">
        <v>2151</v>
      </c>
      <c r="L122" s="126" t="s">
        <v>1784</v>
      </c>
      <c r="M122" s="128" t="s">
        <v>2152</v>
      </c>
      <c r="N122" s="126" t="s">
        <v>894</v>
      </c>
      <c r="O122" s="128" t="s">
        <v>2153</v>
      </c>
      <c r="P122" s="126" t="s">
        <v>2154</v>
      </c>
      <c r="Q122" s="126" t="s">
        <v>2155</v>
      </c>
      <c r="R122" s="126" t="s">
        <v>2156</v>
      </c>
      <c r="S122" s="126">
        <v>3000</v>
      </c>
      <c r="T122" s="126">
        <v>59941</v>
      </c>
      <c r="U122" s="126">
        <v>62941</v>
      </c>
      <c r="V122" s="126" t="s">
        <v>2157</v>
      </c>
      <c r="W122" s="129" t="s">
        <v>2158</v>
      </c>
      <c r="X122" t="s">
        <v>2159</v>
      </c>
      <c r="Y122" t="s">
        <v>644</v>
      </c>
      <c r="Z122" t="s">
        <v>645</v>
      </c>
    </row>
    <row r="123" spans="1:26" x14ac:dyDescent="0.3">
      <c r="A123" s="126" t="s">
        <v>2160</v>
      </c>
      <c r="B123" s="126" t="s">
        <v>953</v>
      </c>
      <c r="C123" s="1" t="s">
        <v>682</v>
      </c>
      <c r="D123" s="127" t="s">
        <v>2161</v>
      </c>
      <c r="E123" s="126">
        <v>55619</v>
      </c>
      <c r="F123" s="126">
        <v>41</v>
      </c>
      <c r="G123" s="126">
        <v>2435</v>
      </c>
      <c r="H123" s="126" t="s">
        <v>630</v>
      </c>
      <c r="I123" s="126" t="s">
        <v>2162</v>
      </c>
      <c r="J123" s="126" t="s">
        <v>2163</v>
      </c>
      <c r="K123" s="126" t="s">
        <v>2164</v>
      </c>
      <c r="L123" s="126" t="s">
        <v>1213</v>
      </c>
      <c r="M123" s="128" t="s">
        <v>2165</v>
      </c>
      <c r="N123" s="126" t="s">
        <v>894</v>
      </c>
      <c r="O123" s="128" t="s">
        <v>2166</v>
      </c>
      <c r="P123" s="1" t="s">
        <v>682</v>
      </c>
      <c r="Q123" s="126" t="s">
        <v>2167</v>
      </c>
      <c r="R123" s="126" t="s">
        <v>2168</v>
      </c>
      <c r="S123" s="126">
        <v>0</v>
      </c>
      <c r="T123" s="126">
        <v>76553</v>
      </c>
      <c r="U123" s="126">
        <v>76553</v>
      </c>
      <c r="V123" s="126" t="s">
        <v>1141</v>
      </c>
      <c r="W123" s="129" t="s">
        <v>2169</v>
      </c>
      <c r="X123" t="s">
        <v>2170</v>
      </c>
      <c r="Y123" t="s">
        <v>644</v>
      </c>
      <c r="Z123" t="s">
        <v>645</v>
      </c>
    </row>
    <row r="124" spans="1:26" x14ac:dyDescent="0.3">
      <c r="A124" s="126" t="s">
        <v>2171</v>
      </c>
      <c r="B124" s="126" t="s">
        <v>1679</v>
      </c>
      <c r="C124" s="54" t="s">
        <v>661</v>
      </c>
      <c r="D124" s="127" t="s">
        <v>2172</v>
      </c>
      <c r="E124" s="126">
        <v>55200</v>
      </c>
      <c r="F124" s="126">
        <v>25</v>
      </c>
      <c r="G124" s="126">
        <v>3686</v>
      </c>
      <c r="H124" s="126" t="s">
        <v>630</v>
      </c>
      <c r="I124" s="126" t="s">
        <v>2173</v>
      </c>
      <c r="J124" s="126" t="s">
        <v>2174</v>
      </c>
      <c r="K124" s="126" t="s">
        <v>2175</v>
      </c>
      <c r="L124" s="126" t="s">
        <v>2176</v>
      </c>
      <c r="M124" s="128" t="s">
        <v>2177</v>
      </c>
      <c r="N124" s="126" t="s">
        <v>894</v>
      </c>
      <c r="O124" s="128" t="s">
        <v>2178</v>
      </c>
      <c r="P124" s="126" t="s">
        <v>2179</v>
      </c>
      <c r="Q124" s="126" t="s">
        <v>2180</v>
      </c>
      <c r="R124" s="126" t="s">
        <v>2181</v>
      </c>
      <c r="S124" s="126">
        <v>3000</v>
      </c>
      <c r="T124" s="126">
        <v>79009</v>
      </c>
      <c r="U124" s="126">
        <v>82009</v>
      </c>
      <c r="V124" s="126" t="s">
        <v>1019</v>
      </c>
      <c r="W124" s="129" t="s">
        <v>2182</v>
      </c>
      <c r="X124" t="s">
        <v>2183</v>
      </c>
      <c r="Y124" t="s">
        <v>644</v>
      </c>
      <c r="Z124" t="s">
        <v>645</v>
      </c>
    </row>
    <row r="125" spans="1:26" x14ac:dyDescent="0.3">
      <c r="A125" s="126" t="s">
        <v>2184</v>
      </c>
      <c r="B125" s="126" t="s">
        <v>887</v>
      </c>
      <c r="C125" s="54" t="s">
        <v>661</v>
      </c>
      <c r="D125" s="127" t="s">
        <v>1879</v>
      </c>
      <c r="E125" s="126">
        <v>46110</v>
      </c>
      <c r="F125" s="126">
        <v>41</v>
      </c>
      <c r="G125" s="126">
        <v>2383</v>
      </c>
      <c r="H125" s="126" t="s">
        <v>630</v>
      </c>
      <c r="I125" s="126" t="s">
        <v>2185</v>
      </c>
      <c r="J125" s="126" t="s">
        <v>2186</v>
      </c>
      <c r="K125" s="126" t="s">
        <v>2187</v>
      </c>
      <c r="L125" s="126" t="s">
        <v>1149</v>
      </c>
      <c r="M125" s="128" t="s">
        <v>2188</v>
      </c>
      <c r="N125" s="126" t="s">
        <v>894</v>
      </c>
      <c r="O125" s="128" t="s">
        <v>2189</v>
      </c>
      <c r="P125" s="126" t="s">
        <v>2190</v>
      </c>
      <c r="Q125" s="126" t="s">
        <v>2191</v>
      </c>
      <c r="R125" s="126" t="s">
        <v>2192</v>
      </c>
      <c r="S125" s="126">
        <v>3000</v>
      </c>
      <c r="T125" s="126">
        <v>84542</v>
      </c>
      <c r="U125" s="126">
        <v>87542</v>
      </c>
      <c r="V125" s="126" t="s">
        <v>817</v>
      </c>
      <c r="W125" s="129" t="s">
        <v>2193</v>
      </c>
      <c r="X125" t="s">
        <v>2194</v>
      </c>
      <c r="Y125" t="s">
        <v>644</v>
      </c>
      <c r="Z125" t="s">
        <v>645</v>
      </c>
    </row>
    <row r="126" spans="1:26" x14ac:dyDescent="0.3">
      <c r="A126" s="126" t="s">
        <v>2195</v>
      </c>
      <c r="B126" s="126" t="s">
        <v>93</v>
      </c>
      <c r="C126" s="54" t="s">
        <v>628</v>
      </c>
      <c r="D126" s="127" t="s">
        <v>2196</v>
      </c>
      <c r="E126" s="126">
        <v>55700</v>
      </c>
      <c r="F126" s="126">
        <v>36</v>
      </c>
      <c r="G126" s="126">
        <v>2241</v>
      </c>
      <c r="H126" s="126" t="s">
        <v>630</v>
      </c>
      <c r="I126" s="126" t="s">
        <v>941</v>
      </c>
      <c r="J126" s="126" t="s">
        <v>2197</v>
      </c>
      <c r="K126" s="126" t="s">
        <v>2198</v>
      </c>
      <c r="L126" s="126" t="s">
        <v>1870</v>
      </c>
      <c r="M126" s="128" t="s">
        <v>1871</v>
      </c>
      <c r="N126" s="126" t="s">
        <v>894</v>
      </c>
      <c r="O126" s="128" t="s">
        <v>2199</v>
      </c>
      <c r="P126" s="126" t="s">
        <v>2200</v>
      </c>
      <c r="Q126" s="126" t="s">
        <v>2201</v>
      </c>
      <c r="R126" s="126" t="s">
        <v>2202</v>
      </c>
      <c r="S126" s="126">
        <v>3000</v>
      </c>
      <c r="T126" s="126">
        <v>105067</v>
      </c>
      <c r="U126" s="126">
        <v>108067</v>
      </c>
      <c r="V126" s="126" t="s">
        <v>657</v>
      </c>
      <c r="W126" s="129" t="s">
        <v>2203</v>
      </c>
      <c r="X126" t="s">
        <v>2204</v>
      </c>
      <c r="Y126" t="s">
        <v>644</v>
      </c>
      <c r="Z126" t="s">
        <v>645</v>
      </c>
    </row>
    <row r="127" spans="1:26" x14ac:dyDescent="0.3">
      <c r="A127" s="126" t="s">
        <v>2205</v>
      </c>
      <c r="B127" s="126" t="s">
        <v>93</v>
      </c>
      <c r="C127" s="54" t="s">
        <v>661</v>
      </c>
      <c r="D127" s="127" t="s">
        <v>2206</v>
      </c>
      <c r="E127" s="126">
        <v>43999</v>
      </c>
      <c r="F127" s="126">
        <v>24</v>
      </c>
      <c r="G127" s="126">
        <v>2327</v>
      </c>
      <c r="H127" s="126" t="s">
        <v>630</v>
      </c>
      <c r="I127" s="126" t="s">
        <v>2207</v>
      </c>
      <c r="J127" s="126" t="s">
        <v>2208</v>
      </c>
      <c r="K127" s="126" t="s">
        <v>2209</v>
      </c>
      <c r="L127" s="126" t="s">
        <v>1784</v>
      </c>
      <c r="M127" s="128" t="s">
        <v>2210</v>
      </c>
      <c r="N127" s="126" t="s">
        <v>894</v>
      </c>
      <c r="O127" s="128" t="s">
        <v>2211</v>
      </c>
      <c r="P127" s="126" t="s">
        <v>2212</v>
      </c>
      <c r="Q127" s="126" t="s">
        <v>2213</v>
      </c>
      <c r="R127" s="126" t="s">
        <v>2214</v>
      </c>
      <c r="S127" s="126">
        <v>3000</v>
      </c>
      <c r="T127" s="126">
        <v>31662</v>
      </c>
      <c r="U127" s="126">
        <v>34662</v>
      </c>
      <c r="V127" s="126" t="s">
        <v>1078</v>
      </c>
      <c r="W127" s="129" t="s">
        <v>2215</v>
      </c>
      <c r="X127" t="s">
        <v>2216</v>
      </c>
      <c r="Y127" t="s">
        <v>644</v>
      </c>
      <c r="Z127" t="s">
        <v>645</v>
      </c>
    </row>
    <row r="128" spans="1:26" x14ac:dyDescent="0.3">
      <c r="A128" s="126" t="s">
        <v>2217</v>
      </c>
      <c r="B128" s="126" t="s">
        <v>953</v>
      </c>
      <c r="C128" s="54" t="s">
        <v>702</v>
      </c>
      <c r="D128" s="127" t="s">
        <v>2218</v>
      </c>
      <c r="E128" s="126">
        <v>58848</v>
      </c>
      <c r="F128" s="126">
        <v>28</v>
      </c>
      <c r="G128" s="126">
        <v>3171</v>
      </c>
      <c r="H128" s="126" t="s">
        <v>630</v>
      </c>
      <c r="I128" s="126" t="s">
        <v>2219</v>
      </c>
      <c r="J128" s="126" t="s">
        <v>2220</v>
      </c>
      <c r="K128" s="126" t="s">
        <v>2221</v>
      </c>
      <c r="L128" s="126" t="s">
        <v>2222</v>
      </c>
      <c r="M128" s="128" t="s">
        <v>2223</v>
      </c>
      <c r="N128" s="126" t="s">
        <v>894</v>
      </c>
      <c r="O128" s="128" t="s">
        <v>2224</v>
      </c>
      <c r="P128" s="126" t="s">
        <v>2225</v>
      </c>
      <c r="Q128" s="126" t="s">
        <v>2226</v>
      </c>
      <c r="R128" s="126" t="s">
        <v>2227</v>
      </c>
      <c r="S128" s="126">
        <v>3000</v>
      </c>
      <c r="T128" s="126">
        <v>32005</v>
      </c>
      <c r="U128" s="126">
        <v>35005</v>
      </c>
      <c r="V128" s="126" t="s">
        <v>1019</v>
      </c>
      <c r="W128" s="129" t="s">
        <v>2228</v>
      </c>
      <c r="X128" t="s">
        <v>2229</v>
      </c>
      <c r="Y128" t="s">
        <v>644</v>
      </c>
      <c r="Z128" t="s">
        <v>645</v>
      </c>
    </row>
    <row r="129" spans="1:26" x14ac:dyDescent="0.3">
      <c r="A129" s="126" t="s">
        <v>2230</v>
      </c>
      <c r="B129" s="126" t="s">
        <v>887</v>
      </c>
      <c r="C129" s="54" t="s">
        <v>628</v>
      </c>
      <c r="D129" s="127" t="s">
        <v>2231</v>
      </c>
      <c r="E129" s="126">
        <v>60032</v>
      </c>
      <c r="F129" s="126">
        <v>41</v>
      </c>
      <c r="G129" s="126">
        <v>3052</v>
      </c>
      <c r="H129" s="126" t="s">
        <v>630</v>
      </c>
      <c r="I129" s="126" t="s">
        <v>2232</v>
      </c>
      <c r="J129" s="126" t="s">
        <v>2233</v>
      </c>
      <c r="K129" s="126" t="s">
        <v>2234</v>
      </c>
      <c r="L129" s="126" t="s">
        <v>2235</v>
      </c>
      <c r="M129" s="128" t="s">
        <v>2236</v>
      </c>
      <c r="N129" s="126" t="s">
        <v>894</v>
      </c>
      <c r="O129" s="128" t="s">
        <v>2237</v>
      </c>
      <c r="P129" s="1" t="s">
        <v>682</v>
      </c>
      <c r="Q129" s="126" t="s">
        <v>2238</v>
      </c>
      <c r="R129" s="126" t="s">
        <v>2239</v>
      </c>
      <c r="S129" s="126">
        <v>3000</v>
      </c>
      <c r="T129" s="126">
        <v>78562</v>
      </c>
      <c r="U129" s="126">
        <v>81562</v>
      </c>
      <c r="V129" s="126" t="s">
        <v>657</v>
      </c>
      <c r="W129" s="129" t="s">
        <v>2240</v>
      </c>
      <c r="X129" t="s">
        <v>2241</v>
      </c>
      <c r="Y129" t="s">
        <v>644</v>
      </c>
      <c r="Z129" t="s">
        <v>645</v>
      </c>
    </row>
    <row r="130" spans="1:26" x14ac:dyDescent="0.3">
      <c r="A130" s="126" t="s">
        <v>2242</v>
      </c>
      <c r="B130" s="126" t="s">
        <v>953</v>
      </c>
      <c r="C130" s="54" t="s">
        <v>702</v>
      </c>
      <c r="D130" s="127" t="s">
        <v>2243</v>
      </c>
      <c r="E130" s="126">
        <v>98899</v>
      </c>
      <c r="F130" s="126">
        <v>36</v>
      </c>
      <c r="G130" s="126">
        <v>3749</v>
      </c>
      <c r="H130" s="126" t="s">
        <v>630</v>
      </c>
      <c r="I130" s="126" t="s">
        <v>955</v>
      </c>
      <c r="J130" s="126" t="s">
        <v>2244</v>
      </c>
      <c r="K130" s="126" t="s">
        <v>2245</v>
      </c>
      <c r="L130" s="126" t="s">
        <v>1213</v>
      </c>
      <c r="M130" s="128" t="s">
        <v>2246</v>
      </c>
      <c r="N130" s="126" t="s">
        <v>894</v>
      </c>
      <c r="O130" s="128" t="s">
        <v>2247</v>
      </c>
      <c r="P130" s="126" t="s">
        <v>2248</v>
      </c>
      <c r="Q130" s="126" t="s">
        <v>2249</v>
      </c>
      <c r="R130" s="126" t="s">
        <v>2250</v>
      </c>
      <c r="S130" s="126">
        <v>3000</v>
      </c>
      <c r="T130" s="126">
        <v>102477</v>
      </c>
      <c r="U130" s="126">
        <v>105477</v>
      </c>
      <c r="V130" s="126" t="s">
        <v>1369</v>
      </c>
      <c r="W130" s="129" t="s">
        <v>2251</v>
      </c>
      <c r="X130" t="s">
        <v>2252</v>
      </c>
      <c r="Y130" t="s">
        <v>644</v>
      </c>
      <c r="Z130" t="s">
        <v>645</v>
      </c>
    </row>
    <row r="131" spans="1:26" x14ac:dyDescent="0.3">
      <c r="A131" s="126" t="s">
        <v>2253</v>
      </c>
      <c r="B131" s="126" t="s">
        <v>93</v>
      </c>
      <c r="C131" s="54" t="s">
        <v>2254</v>
      </c>
      <c r="D131" s="127" t="s">
        <v>2255</v>
      </c>
      <c r="E131" s="126">
        <v>55350</v>
      </c>
      <c r="F131" s="126">
        <v>30</v>
      </c>
      <c r="G131" s="126">
        <v>2976</v>
      </c>
      <c r="H131" s="126" t="s">
        <v>630</v>
      </c>
      <c r="I131" s="126" t="s">
        <v>2256</v>
      </c>
      <c r="J131" s="126" t="s">
        <v>2257</v>
      </c>
      <c r="K131" s="126" t="s">
        <v>2258</v>
      </c>
      <c r="L131" s="126" t="s">
        <v>1832</v>
      </c>
      <c r="M131" s="128" t="s">
        <v>1833</v>
      </c>
      <c r="N131" s="126" t="s">
        <v>894</v>
      </c>
      <c r="O131" s="128" t="s">
        <v>2259</v>
      </c>
      <c r="P131" s="126" t="s">
        <v>2260</v>
      </c>
      <c r="Q131" s="126" t="s">
        <v>2261</v>
      </c>
      <c r="R131" s="126" t="s">
        <v>2262</v>
      </c>
      <c r="S131" s="126">
        <v>3000</v>
      </c>
      <c r="T131" s="126">
        <v>93844</v>
      </c>
      <c r="U131" s="126">
        <v>96844</v>
      </c>
      <c r="V131" s="126" t="s">
        <v>1105</v>
      </c>
      <c r="W131" s="129" t="s">
        <v>2263</v>
      </c>
      <c r="X131" t="s">
        <v>2264</v>
      </c>
      <c r="Y131" t="s">
        <v>644</v>
      </c>
      <c r="Z131" t="s">
        <v>645</v>
      </c>
    </row>
    <row r="132" spans="1:26" x14ac:dyDescent="0.3">
      <c r="A132" s="126" t="s">
        <v>2265</v>
      </c>
      <c r="B132" s="126" t="s">
        <v>887</v>
      </c>
      <c r="C132" s="54" t="s">
        <v>661</v>
      </c>
      <c r="D132" s="127" t="s">
        <v>2266</v>
      </c>
      <c r="E132" s="126">
        <v>42899</v>
      </c>
      <c r="F132" s="126">
        <v>31</v>
      </c>
      <c r="G132" s="126">
        <v>2074</v>
      </c>
      <c r="H132" s="126" t="s">
        <v>630</v>
      </c>
      <c r="I132" s="126" t="s">
        <v>2267</v>
      </c>
      <c r="J132" s="126" t="s">
        <v>2268</v>
      </c>
      <c r="K132" s="126" t="s">
        <v>2269</v>
      </c>
      <c r="L132" s="126" t="s">
        <v>1149</v>
      </c>
      <c r="M132" s="128" t="s">
        <v>2270</v>
      </c>
      <c r="N132" s="126" t="s">
        <v>894</v>
      </c>
      <c r="O132" s="128" t="s">
        <v>2271</v>
      </c>
      <c r="P132" s="126" t="s">
        <v>2272</v>
      </c>
      <c r="Q132" s="126" t="s">
        <v>2273</v>
      </c>
      <c r="R132" s="126" t="s">
        <v>2274</v>
      </c>
      <c r="S132" s="126">
        <v>3000</v>
      </c>
      <c r="T132" s="126">
        <v>31644</v>
      </c>
      <c r="U132" s="126">
        <v>34644</v>
      </c>
      <c r="V132" s="126" t="s">
        <v>817</v>
      </c>
      <c r="W132" s="129" t="s">
        <v>2275</v>
      </c>
      <c r="X132" t="s">
        <v>2276</v>
      </c>
      <c r="Y132" t="s">
        <v>644</v>
      </c>
      <c r="Z132" t="s">
        <v>645</v>
      </c>
    </row>
    <row r="133" spans="1:26" x14ac:dyDescent="0.3">
      <c r="A133" s="126" t="s">
        <v>2277</v>
      </c>
      <c r="B133" s="126" t="s">
        <v>2278</v>
      </c>
      <c r="C133" s="54" t="s">
        <v>702</v>
      </c>
      <c r="D133" s="127" t="s">
        <v>2279</v>
      </c>
      <c r="E133" s="126">
        <v>63000</v>
      </c>
      <c r="F133" s="126">
        <v>36</v>
      </c>
      <c r="G133" s="126">
        <v>2275</v>
      </c>
      <c r="H133" s="126" t="s">
        <v>630</v>
      </c>
      <c r="I133" s="126" t="s">
        <v>2280</v>
      </c>
      <c r="J133" s="126" t="s">
        <v>2281</v>
      </c>
      <c r="K133" s="126" t="s">
        <v>2282</v>
      </c>
      <c r="L133" s="126" t="s">
        <v>2283</v>
      </c>
      <c r="M133" s="128" t="s">
        <v>2284</v>
      </c>
      <c r="N133" s="126" t="s">
        <v>894</v>
      </c>
      <c r="O133" s="128" t="s">
        <v>2285</v>
      </c>
      <c r="P133" s="126" t="s">
        <v>2286</v>
      </c>
      <c r="Q133" s="126" t="s">
        <v>2287</v>
      </c>
      <c r="R133" s="126" t="s">
        <v>2288</v>
      </c>
      <c r="S133" s="126">
        <v>3000</v>
      </c>
      <c r="T133" s="126">
        <v>62777</v>
      </c>
      <c r="U133" s="126">
        <v>65777</v>
      </c>
      <c r="V133" s="126" t="s">
        <v>978</v>
      </c>
      <c r="W133" s="129" t="s">
        <v>2289</v>
      </c>
      <c r="X133" t="s">
        <v>2290</v>
      </c>
      <c r="Y133" t="s">
        <v>644</v>
      </c>
      <c r="Z133" t="s">
        <v>645</v>
      </c>
    </row>
    <row r="134" spans="1:26" x14ac:dyDescent="0.3">
      <c r="A134" s="126" t="s">
        <v>2291</v>
      </c>
      <c r="B134" s="126" t="s">
        <v>93</v>
      </c>
      <c r="C134" s="54" t="s">
        <v>628</v>
      </c>
      <c r="D134" s="127" t="s">
        <v>2292</v>
      </c>
      <c r="E134" s="126">
        <v>99000</v>
      </c>
      <c r="F134" s="126">
        <v>36</v>
      </c>
      <c r="G134" s="126">
        <v>3526</v>
      </c>
      <c r="H134" s="126" t="s">
        <v>630</v>
      </c>
      <c r="I134" s="126" t="s">
        <v>2293</v>
      </c>
      <c r="J134" s="126" t="s">
        <v>2294</v>
      </c>
      <c r="K134" s="126" t="s">
        <v>2295</v>
      </c>
      <c r="L134" s="126" t="s">
        <v>1870</v>
      </c>
      <c r="M134" s="128" t="s">
        <v>2296</v>
      </c>
      <c r="N134" s="126" t="s">
        <v>894</v>
      </c>
      <c r="O134" s="128" t="s">
        <v>2297</v>
      </c>
      <c r="P134" s="126" t="s">
        <v>2298</v>
      </c>
      <c r="Q134" s="126" t="s">
        <v>2299</v>
      </c>
      <c r="R134" s="126" t="s">
        <v>2300</v>
      </c>
      <c r="S134" s="126">
        <v>3000</v>
      </c>
      <c r="T134" s="126">
        <v>53944</v>
      </c>
      <c r="U134" s="126">
        <v>56944</v>
      </c>
      <c r="V134" s="126" t="s">
        <v>728</v>
      </c>
      <c r="W134" s="129" t="s">
        <v>2301</v>
      </c>
      <c r="X134" t="s">
        <v>2302</v>
      </c>
      <c r="Y134" t="s">
        <v>644</v>
      </c>
      <c r="Z134" t="s">
        <v>645</v>
      </c>
    </row>
    <row r="135" spans="1:26" x14ac:dyDescent="0.3">
      <c r="A135" s="126" t="s">
        <v>2303</v>
      </c>
      <c r="B135" s="126" t="s">
        <v>953</v>
      </c>
      <c r="C135" s="54" t="s">
        <v>702</v>
      </c>
      <c r="D135" s="127" t="s">
        <v>2304</v>
      </c>
      <c r="E135" s="126">
        <v>69583</v>
      </c>
      <c r="F135" s="126">
        <v>30</v>
      </c>
      <c r="G135" s="126">
        <v>3114</v>
      </c>
      <c r="H135" s="126" t="s">
        <v>630</v>
      </c>
      <c r="I135" s="126" t="s">
        <v>2305</v>
      </c>
      <c r="J135" s="126" t="s">
        <v>2306</v>
      </c>
      <c r="K135" s="126" t="s">
        <v>2307</v>
      </c>
      <c r="L135" s="126" t="s">
        <v>1213</v>
      </c>
      <c r="M135" s="128" t="s">
        <v>2165</v>
      </c>
      <c r="N135" s="126" t="s">
        <v>894</v>
      </c>
      <c r="O135" s="128" t="s">
        <v>2308</v>
      </c>
      <c r="P135" s="126" t="s">
        <v>2309</v>
      </c>
      <c r="Q135" s="126" t="s">
        <v>2310</v>
      </c>
      <c r="R135" s="126" t="s">
        <v>2311</v>
      </c>
      <c r="S135" s="126">
        <v>3000</v>
      </c>
      <c r="T135" s="126">
        <v>88504</v>
      </c>
      <c r="U135" s="126">
        <v>91504</v>
      </c>
      <c r="V135" s="126" t="s">
        <v>2312</v>
      </c>
      <c r="W135" s="129" t="s">
        <v>2313</v>
      </c>
      <c r="X135" t="s">
        <v>2314</v>
      </c>
      <c r="Y135" t="s">
        <v>644</v>
      </c>
      <c r="Z135" t="s">
        <v>645</v>
      </c>
    </row>
    <row r="136" spans="1:26" x14ac:dyDescent="0.3">
      <c r="A136" s="126" t="s">
        <v>2315</v>
      </c>
      <c r="B136" s="126" t="s">
        <v>953</v>
      </c>
      <c r="C136" s="54" t="s">
        <v>702</v>
      </c>
      <c r="D136" s="127" t="s">
        <v>2316</v>
      </c>
      <c r="E136" s="126">
        <v>56597</v>
      </c>
      <c r="F136" s="126">
        <v>34</v>
      </c>
      <c r="G136" s="126">
        <v>2861</v>
      </c>
      <c r="H136" s="126" t="s">
        <v>630</v>
      </c>
      <c r="I136" s="126" t="s">
        <v>2317</v>
      </c>
      <c r="J136" s="126" t="s">
        <v>2318</v>
      </c>
      <c r="K136" s="126" t="s">
        <v>2319</v>
      </c>
      <c r="L136" s="126" t="s">
        <v>1906</v>
      </c>
      <c r="M136" s="128" t="s">
        <v>1907</v>
      </c>
      <c r="N136" s="126" t="s">
        <v>894</v>
      </c>
      <c r="O136" s="128" t="s">
        <v>2320</v>
      </c>
      <c r="P136" s="1" t="s">
        <v>682</v>
      </c>
      <c r="Q136" s="126" t="s">
        <v>2321</v>
      </c>
      <c r="R136" s="126" t="s">
        <v>2322</v>
      </c>
      <c r="S136" s="126">
        <v>3000</v>
      </c>
      <c r="T136" s="126">
        <v>41718</v>
      </c>
      <c r="U136" s="126">
        <v>44718</v>
      </c>
      <c r="V136" s="126" t="s">
        <v>1019</v>
      </c>
      <c r="W136" s="129" t="s">
        <v>2323</v>
      </c>
      <c r="X136" t="s">
        <v>2324</v>
      </c>
      <c r="Y136" t="s">
        <v>644</v>
      </c>
      <c r="Z136" t="s">
        <v>645</v>
      </c>
    </row>
    <row r="137" spans="1:26" x14ac:dyDescent="0.3">
      <c r="A137" s="126" t="s">
        <v>2325</v>
      </c>
      <c r="B137" s="126" t="s">
        <v>89</v>
      </c>
      <c r="C137" s="54" t="s">
        <v>702</v>
      </c>
      <c r="D137" s="127" t="s">
        <v>2326</v>
      </c>
      <c r="E137" s="126">
        <v>83968</v>
      </c>
      <c r="F137" s="126">
        <v>43</v>
      </c>
      <c r="G137" s="126">
        <v>3327</v>
      </c>
      <c r="H137" s="126" t="s">
        <v>630</v>
      </c>
      <c r="I137" s="126" t="s">
        <v>2327</v>
      </c>
      <c r="J137" s="126" t="s">
        <v>2328</v>
      </c>
      <c r="K137" s="126" t="s">
        <v>2329</v>
      </c>
      <c r="L137" s="126" t="s">
        <v>2330</v>
      </c>
      <c r="M137" s="128" t="s">
        <v>2331</v>
      </c>
      <c r="N137" s="126" t="s">
        <v>894</v>
      </c>
      <c r="O137" s="128" t="s">
        <v>2332</v>
      </c>
      <c r="P137" s="1" t="s">
        <v>682</v>
      </c>
      <c r="Q137" s="126" t="s">
        <v>2333</v>
      </c>
      <c r="R137" s="126" t="s">
        <v>2334</v>
      </c>
      <c r="S137" s="126">
        <v>3000</v>
      </c>
      <c r="T137" s="126">
        <v>147992</v>
      </c>
      <c r="U137" s="126">
        <v>150992</v>
      </c>
      <c r="V137" s="126" t="s">
        <v>1303</v>
      </c>
      <c r="W137" s="129" t="s">
        <v>2335</v>
      </c>
      <c r="X137" t="s">
        <v>2336</v>
      </c>
      <c r="Y137" t="s">
        <v>644</v>
      </c>
      <c r="Z137" t="s">
        <v>645</v>
      </c>
    </row>
    <row r="138" spans="1:26" x14ac:dyDescent="0.3">
      <c r="A138" s="126" t="s">
        <v>2337</v>
      </c>
      <c r="B138" s="126" t="s">
        <v>953</v>
      </c>
      <c r="C138" s="54" t="s">
        <v>702</v>
      </c>
      <c r="D138" s="127" t="s">
        <v>2338</v>
      </c>
      <c r="E138" s="126">
        <v>50763</v>
      </c>
      <c r="F138" s="126">
        <v>24</v>
      </c>
      <c r="G138" s="126">
        <v>2750</v>
      </c>
      <c r="H138" s="126" t="s">
        <v>630</v>
      </c>
      <c r="I138" s="126" t="s">
        <v>2339</v>
      </c>
      <c r="J138" s="126" t="s">
        <v>2340</v>
      </c>
      <c r="K138" s="126" t="s">
        <v>2341</v>
      </c>
      <c r="L138" s="126" t="s">
        <v>2004</v>
      </c>
      <c r="M138" s="128" t="s">
        <v>2342</v>
      </c>
      <c r="N138" s="126" t="s">
        <v>894</v>
      </c>
      <c r="O138" s="128" t="s">
        <v>2343</v>
      </c>
      <c r="P138" s="126" t="s">
        <v>2344</v>
      </c>
      <c r="Q138" s="126" t="s">
        <v>2345</v>
      </c>
      <c r="R138" s="126" t="s">
        <v>2346</v>
      </c>
      <c r="S138" s="126">
        <v>3000</v>
      </c>
      <c r="T138" s="126">
        <v>53025</v>
      </c>
      <c r="U138" s="126">
        <v>56025</v>
      </c>
      <c r="V138" s="126" t="s">
        <v>2347</v>
      </c>
      <c r="W138" s="129" t="s">
        <v>2348</v>
      </c>
      <c r="X138" t="s">
        <v>2349</v>
      </c>
      <c r="Y138" t="s">
        <v>644</v>
      </c>
      <c r="Z138" t="s">
        <v>645</v>
      </c>
    </row>
    <row r="139" spans="1:26" x14ac:dyDescent="0.3">
      <c r="A139" s="126" t="s">
        <v>2350</v>
      </c>
      <c r="B139" s="126" t="s">
        <v>93</v>
      </c>
      <c r="C139" s="54" t="s">
        <v>702</v>
      </c>
      <c r="D139" s="127" t="s">
        <v>2351</v>
      </c>
      <c r="E139" s="126">
        <v>65500</v>
      </c>
      <c r="F139" s="126">
        <v>24</v>
      </c>
      <c r="G139" s="126">
        <v>3456</v>
      </c>
      <c r="H139" s="126" t="s">
        <v>630</v>
      </c>
      <c r="I139" s="126" t="s">
        <v>2352</v>
      </c>
      <c r="J139" s="126" t="s">
        <v>2353</v>
      </c>
      <c r="K139" s="126" t="s">
        <v>2354</v>
      </c>
      <c r="L139" s="126" t="s">
        <v>1013</v>
      </c>
      <c r="M139" s="128" t="s">
        <v>2355</v>
      </c>
      <c r="N139" s="126" t="s">
        <v>894</v>
      </c>
      <c r="O139" s="128" t="s">
        <v>2356</v>
      </c>
      <c r="P139" s="126" t="s">
        <v>2357</v>
      </c>
      <c r="Q139" s="126" t="s">
        <v>2358</v>
      </c>
      <c r="R139" s="126" t="s">
        <v>2359</v>
      </c>
      <c r="S139" s="126">
        <v>3000</v>
      </c>
      <c r="T139" s="126">
        <v>49754</v>
      </c>
      <c r="U139" s="126">
        <v>52754</v>
      </c>
      <c r="V139" s="126" t="s">
        <v>2312</v>
      </c>
      <c r="W139" s="129" t="s">
        <v>2360</v>
      </c>
      <c r="X139" t="s">
        <v>2361</v>
      </c>
      <c r="Y139" t="s">
        <v>644</v>
      </c>
      <c r="Z139" t="s">
        <v>645</v>
      </c>
    </row>
    <row r="140" spans="1:26" x14ac:dyDescent="0.3">
      <c r="A140" s="126" t="s">
        <v>2362</v>
      </c>
      <c r="B140" s="126" t="s">
        <v>887</v>
      </c>
      <c r="C140" s="54" t="s">
        <v>661</v>
      </c>
      <c r="D140" s="127" t="s">
        <v>2363</v>
      </c>
      <c r="E140" s="126">
        <v>44000</v>
      </c>
      <c r="F140" s="126">
        <v>29</v>
      </c>
      <c r="G140" s="126">
        <v>2395</v>
      </c>
      <c r="H140" s="126" t="s">
        <v>630</v>
      </c>
      <c r="I140" s="126" t="s">
        <v>2364</v>
      </c>
      <c r="J140" s="126" t="s">
        <v>2365</v>
      </c>
      <c r="K140" s="126" t="s">
        <v>2366</v>
      </c>
      <c r="L140" s="1"/>
      <c r="M140" s="128" t="s">
        <v>2367</v>
      </c>
      <c r="N140" s="126" t="s">
        <v>894</v>
      </c>
      <c r="O140" s="128" t="s">
        <v>2368</v>
      </c>
      <c r="P140" s="126" t="s">
        <v>2369</v>
      </c>
      <c r="Q140" s="126" t="s">
        <v>2370</v>
      </c>
      <c r="R140" s="126" t="s">
        <v>2371</v>
      </c>
      <c r="S140" s="126">
        <v>3000</v>
      </c>
      <c r="T140" s="126">
        <v>69953</v>
      </c>
      <c r="U140" s="126">
        <v>72953</v>
      </c>
      <c r="V140" s="126" t="s">
        <v>1005</v>
      </c>
      <c r="W140" s="129" t="s">
        <v>2372</v>
      </c>
      <c r="X140" t="s">
        <v>2373</v>
      </c>
      <c r="Y140" t="s">
        <v>644</v>
      </c>
      <c r="Z140" t="s">
        <v>645</v>
      </c>
    </row>
    <row r="141" spans="1:26" x14ac:dyDescent="0.3">
      <c r="A141" s="126" t="s">
        <v>2374</v>
      </c>
      <c r="B141" s="126" t="s">
        <v>1679</v>
      </c>
      <c r="C141" s="54" t="s">
        <v>661</v>
      </c>
      <c r="D141" s="127" t="s">
        <v>1095</v>
      </c>
      <c r="E141" s="126">
        <v>55900</v>
      </c>
      <c r="F141" s="126">
        <v>30</v>
      </c>
      <c r="G141" s="126">
        <v>2697</v>
      </c>
      <c r="H141" s="126" t="s">
        <v>630</v>
      </c>
      <c r="I141" s="126" t="s">
        <v>2375</v>
      </c>
      <c r="J141" s="126" t="s">
        <v>2376</v>
      </c>
      <c r="K141" s="126" t="s">
        <v>2377</v>
      </c>
      <c r="L141" s="126" t="s">
        <v>1086</v>
      </c>
      <c r="M141" s="128" t="s">
        <v>1684</v>
      </c>
      <c r="N141" s="126" t="s">
        <v>894</v>
      </c>
      <c r="O141" s="128" t="s">
        <v>2378</v>
      </c>
      <c r="P141" s="126" t="s">
        <v>2379</v>
      </c>
      <c r="Q141" s="126" t="s">
        <v>2380</v>
      </c>
      <c r="R141" s="126" t="s">
        <v>2381</v>
      </c>
      <c r="S141" s="126">
        <v>3000</v>
      </c>
      <c r="T141" s="126">
        <v>139908</v>
      </c>
      <c r="U141" s="126">
        <v>142908</v>
      </c>
      <c r="V141" s="126" t="s">
        <v>883</v>
      </c>
      <c r="W141" s="129" t="s">
        <v>2382</v>
      </c>
      <c r="X141" t="s">
        <v>2383</v>
      </c>
      <c r="Y141" t="s">
        <v>644</v>
      </c>
      <c r="Z141" t="s">
        <v>645</v>
      </c>
    </row>
    <row r="142" spans="1:26" x14ac:dyDescent="0.3">
      <c r="A142" s="126" t="s">
        <v>2384</v>
      </c>
      <c r="B142" s="126" t="s">
        <v>93</v>
      </c>
      <c r="C142" s="54" t="s">
        <v>661</v>
      </c>
      <c r="D142" s="127" t="s">
        <v>1373</v>
      </c>
      <c r="E142" s="126">
        <v>69000</v>
      </c>
      <c r="F142" s="126">
        <v>25</v>
      </c>
      <c r="G142" s="126">
        <v>3422</v>
      </c>
      <c r="H142" s="126" t="s">
        <v>630</v>
      </c>
      <c r="I142" s="126" t="s">
        <v>2385</v>
      </c>
      <c r="J142" s="126" t="s">
        <v>2386</v>
      </c>
      <c r="K142" s="126" t="s">
        <v>2387</v>
      </c>
      <c r="L142" s="126" t="s">
        <v>1870</v>
      </c>
      <c r="M142" s="128" t="s">
        <v>1871</v>
      </c>
      <c r="N142" s="126" t="s">
        <v>894</v>
      </c>
      <c r="O142" s="128" t="s">
        <v>2388</v>
      </c>
      <c r="P142" s="126" t="s">
        <v>2389</v>
      </c>
      <c r="Q142" s="126" t="s">
        <v>2390</v>
      </c>
      <c r="R142" s="126" t="s">
        <v>2391</v>
      </c>
      <c r="S142" s="126">
        <v>3000</v>
      </c>
      <c r="T142" s="126">
        <v>69821</v>
      </c>
      <c r="U142" s="126">
        <v>72821</v>
      </c>
      <c r="V142" s="126" t="s">
        <v>2392</v>
      </c>
      <c r="W142" s="129" t="s">
        <v>2393</v>
      </c>
      <c r="X142" t="s">
        <v>2394</v>
      </c>
      <c r="Y142" t="s">
        <v>644</v>
      </c>
      <c r="Z142" t="s">
        <v>645</v>
      </c>
    </row>
    <row r="143" spans="1:26" x14ac:dyDescent="0.3">
      <c r="A143" s="126" t="s">
        <v>2395</v>
      </c>
      <c r="B143" s="126" t="s">
        <v>887</v>
      </c>
      <c r="C143" s="54" t="s">
        <v>661</v>
      </c>
      <c r="D143" s="127" t="s">
        <v>2396</v>
      </c>
      <c r="E143" s="126">
        <v>53000</v>
      </c>
      <c r="F143" s="126">
        <v>20</v>
      </c>
      <c r="G143" s="126">
        <v>3324</v>
      </c>
      <c r="H143" s="126" t="s">
        <v>630</v>
      </c>
      <c r="I143" s="126" t="s">
        <v>2397</v>
      </c>
      <c r="J143" s="126" t="s">
        <v>2398</v>
      </c>
      <c r="K143" s="126" t="s">
        <v>2399</v>
      </c>
      <c r="L143" s="126" t="s">
        <v>2400</v>
      </c>
      <c r="M143" s="128" t="s">
        <v>2401</v>
      </c>
      <c r="N143" s="126" t="s">
        <v>894</v>
      </c>
      <c r="O143" s="128" t="s">
        <v>2402</v>
      </c>
      <c r="P143" s="126" t="s">
        <v>2403</v>
      </c>
      <c r="Q143" s="126" t="s">
        <v>2404</v>
      </c>
      <c r="R143" s="126" t="s">
        <v>2405</v>
      </c>
      <c r="S143" s="126">
        <v>3000</v>
      </c>
      <c r="T143" s="126">
        <v>7913</v>
      </c>
      <c r="U143" s="126">
        <v>10913</v>
      </c>
      <c r="V143" s="126" t="s">
        <v>992</v>
      </c>
      <c r="W143" s="129" t="s">
        <v>2406</v>
      </c>
      <c r="X143" t="s">
        <v>2407</v>
      </c>
      <c r="Y143" t="s">
        <v>644</v>
      </c>
      <c r="Z143" t="s">
        <v>645</v>
      </c>
    </row>
    <row r="144" spans="1:26" x14ac:dyDescent="0.3">
      <c r="A144" s="126" t="s">
        <v>2408</v>
      </c>
      <c r="B144" s="126" t="s">
        <v>953</v>
      </c>
      <c r="C144" s="54" t="s">
        <v>702</v>
      </c>
      <c r="D144" s="127" t="s">
        <v>2409</v>
      </c>
      <c r="E144" s="126">
        <v>97899</v>
      </c>
      <c r="F144" s="126">
        <v>30</v>
      </c>
      <c r="G144" s="126">
        <v>4386</v>
      </c>
      <c r="H144" s="126" t="s">
        <v>630</v>
      </c>
      <c r="I144" s="126" t="s">
        <v>2410</v>
      </c>
      <c r="J144" s="126" t="s">
        <v>2411</v>
      </c>
      <c r="K144" s="126" t="s">
        <v>2412</v>
      </c>
      <c r="L144" s="126" t="s">
        <v>1759</v>
      </c>
      <c r="M144" s="128" t="s">
        <v>2413</v>
      </c>
      <c r="N144" s="126" t="s">
        <v>894</v>
      </c>
      <c r="O144" s="128" t="s">
        <v>2414</v>
      </c>
      <c r="P144" s="126" t="s">
        <v>2415</v>
      </c>
      <c r="Q144" s="126" t="s">
        <v>2416</v>
      </c>
      <c r="R144" s="126" t="s">
        <v>2417</v>
      </c>
      <c r="S144" s="126">
        <v>3000</v>
      </c>
      <c r="T144" s="126">
        <v>107850</v>
      </c>
      <c r="U144" s="126">
        <v>110850</v>
      </c>
      <c r="V144" s="126" t="s">
        <v>1369</v>
      </c>
      <c r="W144" s="129" t="s">
        <v>2418</v>
      </c>
      <c r="X144" t="s">
        <v>2419</v>
      </c>
      <c r="Y144" t="s">
        <v>644</v>
      </c>
      <c r="Z144" t="s">
        <v>645</v>
      </c>
    </row>
    <row r="145" spans="1:26" x14ac:dyDescent="0.3">
      <c r="A145" s="126" t="s">
        <v>2420</v>
      </c>
      <c r="B145" s="126" t="s">
        <v>953</v>
      </c>
      <c r="C145" s="54" t="s">
        <v>702</v>
      </c>
      <c r="D145" s="127" t="s">
        <v>2421</v>
      </c>
      <c r="E145" s="126">
        <v>62599</v>
      </c>
      <c r="F145" s="126">
        <v>20</v>
      </c>
      <c r="G145" s="126">
        <v>3495</v>
      </c>
      <c r="H145" s="126" t="s">
        <v>630</v>
      </c>
      <c r="I145" s="126" t="s">
        <v>2422</v>
      </c>
      <c r="J145" s="126" t="s">
        <v>2423</v>
      </c>
      <c r="K145" s="126" t="s">
        <v>2424</v>
      </c>
      <c r="L145" s="126" t="s">
        <v>1797</v>
      </c>
      <c r="M145" s="128" t="s">
        <v>2425</v>
      </c>
      <c r="N145" s="126" t="s">
        <v>894</v>
      </c>
      <c r="O145" s="128" t="s">
        <v>2426</v>
      </c>
      <c r="P145" s="126" t="s">
        <v>2427</v>
      </c>
      <c r="Q145" s="126" t="s">
        <v>2428</v>
      </c>
      <c r="R145" s="126" t="s">
        <v>2429</v>
      </c>
      <c r="S145" s="126">
        <v>3000</v>
      </c>
      <c r="T145" s="126">
        <v>58291</v>
      </c>
      <c r="U145" s="126">
        <v>61291</v>
      </c>
      <c r="V145" s="126" t="s">
        <v>870</v>
      </c>
      <c r="W145" s="129" t="s">
        <v>2430</v>
      </c>
      <c r="X145" t="s">
        <v>2431</v>
      </c>
      <c r="Y145" t="s">
        <v>644</v>
      </c>
      <c r="Z145" t="s">
        <v>645</v>
      </c>
    </row>
    <row r="146" spans="1:26" x14ac:dyDescent="0.3">
      <c r="A146" s="126" t="s">
        <v>2432</v>
      </c>
      <c r="B146" s="126" t="s">
        <v>93</v>
      </c>
      <c r="C146" s="54" t="s">
        <v>661</v>
      </c>
      <c r="D146" s="127" t="s">
        <v>2433</v>
      </c>
      <c r="E146" s="126">
        <v>41900</v>
      </c>
      <c r="F146" s="126">
        <v>27</v>
      </c>
      <c r="G146" s="126">
        <v>2700</v>
      </c>
      <c r="H146" s="126" t="s">
        <v>630</v>
      </c>
      <c r="I146" s="126" t="s">
        <v>2434</v>
      </c>
      <c r="J146" s="126" t="s">
        <v>2435</v>
      </c>
      <c r="K146" s="126" t="s">
        <v>2436</v>
      </c>
      <c r="L146" s="126" t="s">
        <v>2437</v>
      </c>
      <c r="M146" s="128" t="s">
        <v>2438</v>
      </c>
      <c r="N146" s="126" t="s">
        <v>894</v>
      </c>
      <c r="O146" s="128" t="s">
        <v>2439</v>
      </c>
      <c r="P146" s="126" t="s">
        <v>2440</v>
      </c>
      <c r="Q146" s="126" t="s">
        <v>2441</v>
      </c>
      <c r="R146" s="126" t="s">
        <v>2442</v>
      </c>
      <c r="S146" s="126">
        <v>3000</v>
      </c>
      <c r="T146" s="126">
        <v>60518</v>
      </c>
      <c r="U146" s="126">
        <v>63518</v>
      </c>
      <c r="V146" s="126" t="s">
        <v>805</v>
      </c>
      <c r="W146" s="129" t="s">
        <v>2443</v>
      </c>
      <c r="X146" t="s">
        <v>2444</v>
      </c>
      <c r="Y146" t="s">
        <v>644</v>
      </c>
      <c r="Z146" t="s">
        <v>645</v>
      </c>
    </row>
    <row r="147" spans="1:26" x14ac:dyDescent="0.3">
      <c r="A147" s="126" t="s">
        <v>2445</v>
      </c>
      <c r="B147" s="126" t="s">
        <v>93</v>
      </c>
      <c r="C147" s="54" t="s">
        <v>661</v>
      </c>
      <c r="D147" s="127" t="s">
        <v>2446</v>
      </c>
      <c r="E147" s="126">
        <v>101000</v>
      </c>
      <c r="F147" s="126">
        <v>36</v>
      </c>
      <c r="G147" s="126">
        <v>3900</v>
      </c>
      <c r="H147" s="126" t="s">
        <v>630</v>
      </c>
      <c r="I147" s="126" t="s">
        <v>2447</v>
      </c>
      <c r="J147" s="126" t="s">
        <v>2448</v>
      </c>
      <c r="K147" s="126" t="s">
        <v>2449</v>
      </c>
      <c r="L147" s="126" t="s">
        <v>1326</v>
      </c>
      <c r="M147" s="128" t="s">
        <v>2450</v>
      </c>
      <c r="N147" s="126" t="s">
        <v>894</v>
      </c>
      <c r="O147" s="128" t="s">
        <v>2451</v>
      </c>
      <c r="P147" s="126" t="s">
        <v>2452</v>
      </c>
      <c r="Q147" s="126" t="s">
        <v>2453</v>
      </c>
      <c r="R147" s="126" t="s">
        <v>2454</v>
      </c>
      <c r="S147" s="126">
        <v>3000</v>
      </c>
      <c r="T147" s="126">
        <v>106219</v>
      </c>
      <c r="U147" s="126">
        <v>109219</v>
      </c>
      <c r="V147" s="126" t="s">
        <v>742</v>
      </c>
      <c r="W147" s="129" t="s">
        <v>2455</v>
      </c>
      <c r="X147" t="s">
        <v>2456</v>
      </c>
      <c r="Y147" t="s">
        <v>644</v>
      </c>
      <c r="Z147" t="s">
        <v>645</v>
      </c>
    </row>
    <row r="148" spans="1:26" x14ac:dyDescent="0.3">
      <c r="A148" s="126" t="s">
        <v>2457</v>
      </c>
      <c r="B148" s="126" t="s">
        <v>953</v>
      </c>
      <c r="C148" s="54" t="s">
        <v>702</v>
      </c>
      <c r="D148" s="127" t="s">
        <v>2458</v>
      </c>
      <c r="E148" s="126">
        <v>59447</v>
      </c>
      <c r="F148" s="126">
        <v>48</v>
      </c>
      <c r="G148" s="126">
        <v>2373</v>
      </c>
      <c r="H148" s="126" t="s">
        <v>630</v>
      </c>
      <c r="I148" s="126" t="s">
        <v>2459</v>
      </c>
      <c r="J148" s="126" t="s">
        <v>2460</v>
      </c>
      <c r="K148" s="126" t="s">
        <v>2461</v>
      </c>
      <c r="L148" s="126" t="s">
        <v>2462</v>
      </c>
      <c r="M148" s="128" t="s">
        <v>2463</v>
      </c>
      <c r="N148" s="126" t="s">
        <v>894</v>
      </c>
      <c r="O148" s="128" t="s">
        <v>2464</v>
      </c>
      <c r="P148" s="126" t="s">
        <v>2465</v>
      </c>
      <c r="Q148" s="126" t="s">
        <v>2466</v>
      </c>
      <c r="R148" s="126" t="s">
        <v>2467</v>
      </c>
      <c r="S148" s="126">
        <v>3000</v>
      </c>
      <c r="T148" s="126">
        <v>119488</v>
      </c>
      <c r="U148" s="126">
        <v>122488</v>
      </c>
      <c r="V148" s="126" t="s">
        <v>1019</v>
      </c>
      <c r="W148" s="129" t="s">
        <v>2468</v>
      </c>
      <c r="X148" t="s">
        <v>2469</v>
      </c>
      <c r="Y148" t="s">
        <v>644</v>
      </c>
      <c r="Z148" t="s">
        <v>645</v>
      </c>
    </row>
    <row r="149" spans="1:26" x14ac:dyDescent="0.3">
      <c r="A149" s="126" t="s">
        <v>2470</v>
      </c>
      <c r="B149" s="126" t="s">
        <v>93</v>
      </c>
      <c r="C149" s="54" t="s">
        <v>702</v>
      </c>
      <c r="D149" s="127" t="s">
        <v>2471</v>
      </c>
      <c r="E149" s="126">
        <v>62000</v>
      </c>
      <c r="F149" s="126">
        <v>24</v>
      </c>
      <c r="G149" s="126">
        <v>3276</v>
      </c>
      <c r="H149" s="126" t="s">
        <v>630</v>
      </c>
      <c r="I149" s="126" t="s">
        <v>2472</v>
      </c>
      <c r="J149" s="126" t="s">
        <v>2473</v>
      </c>
      <c r="K149" s="126" t="s">
        <v>2474</v>
      </c>
      <c r="L149" s="126" t="s">
        <v>1326</v>
      </c>
      <c r="M149" s="128" t="s">
        <v>2475</v>
      </c>
      <c r="N149" s="126" t="s">
        <v>894</v>
      </c>
      <c r="O149" s="128" t="s">
        <v>2476</v>
      </c>
      <c r="P149" s="126" t="s">
        <v>2477</v>
      </c>
      <c r="Q149" s="126" t="s">
        <v>2478</v>
      </c>
      <c r="R149" s="126" t="s">
        <v>2479</v>
      </c>
      <c r="S149" s="126">
        <v>3000</v>
      </c>
      <c r="T149" s="126">
        <v>36395</v>
      </c>
      <c r="U149" s="126">
        <v>39395</v>
      </c>
      <c r="V149" s="126" t="s">
        <v>768</v>
      </c>
      <c r="W149" s="129" t="s">
        <v>2480</v>
      </c>
      <c r="X149" t="s">
        <v>2481</v>
      </c>
      <c r="Y149" t="s">
        <v>644</v>
      </c>
      <c r="Z149" t="s">
        <v>645</v>
      </c>
    </row>
    <row r="150" spans="1:26" x14ac:dyDescent="0.3">
      <c r="A150" s="126" t="s">
        <v>2482</v>
      </c>
      <c r="B150" s="126" t="s">
        <v>2087</v>
      </c>
      <c r="C150" s="54" t="s">
        <v>2483</v>
      </c>
      <c r="D150" s="127" t="s">
        <v>2484</v>
      </c>
      <c r="E150" s="126">
        <v>404250</v>
      </c>
      <c r="F150" s="126">
        <v>60</v>
      </c>
      <c r="G150" s="126">
        <v>10936</v>
      </c>
      <c r="H150" s="126" t="s">
        <v>630</v>
      </c>
      <c r="I150" s="126" t="s">
        <v>2485</v>
      </c>
      <c r="J150" s="126" t="s">
        <v>2486</v>
      </c>
      <c r="K150" s="126" t="s">
        <v>2487</v>
      </c>
      <c r="L150" s="126" t="s">
        <v>2488</v>
      </c>
      <c r="M150" s="128" t="s">
        <v>2489</v>
      </c>
      <c r="N150" s="126" t="s">
        <v>894</v>
      </c>
      <c r="O150" s="128" t="s">
        <v>2490</v>
      </c>
      <c r="P150" s="126" t="s">
        <v>2491</v>
      </c>
      <c r="Q150" s="126" t="s">
        <v>2492</v>
      </c>
      <c r="R150" s="126" t="s">
        <v>2493</v>
      </c>
      <c r="S150" s="126">
        <v>15000</v>
      </c>
      <c r="T150" s="126">
        <v>736546</v>
      </c>
      <c r="U150" s="126">
        <v>751546</v>
      </c>
      <c r="V150" s="126" t="s">
        <v>2494</v>
      </c>
      <c r="W150" s="129" t="s">
        <v>2495</v>
      </c>
      <c r="X150" t="s">
        <v>2496</v>
      </c>
      <c r="Y150" t="s">
        <v>644</v>
      </c>
      <c r="Z150" t="s">
        <v>645</v>
      </c>
    </row>
    <row r="151" spans="1:26" x14ac:dyDescent="0.3">
      <c r="A151" s="126" t="s">
        <v>2497</v>
      </c>
      <c r="B151" s="126" t="s">
        <v>1094</v>
      </c>
      <c r="C151" s="54" t="s">
        <v>702</v>
      </c>
      <c r="D151" s="127" t="s">
        <v>2498</v>
      </c>
      <c r="E151" s="126">
        <v>229250</v>
      </c>
      <c r="F151" s="126">
        <v>48</v>
      </c>
      <c r="G151" s="126">
        <v>7350</v>
      </c>
      <c r="H151" s="126" t="s">
        <v>630</v>
      </c>
      <c r="I151" s="126" t="s">
        <v>2499</v>
      </c>
      <c r="J151" s="126" t="s">
        <v>2500</v>
      </c>
      <c r="K151" s="126" t="s">
        <v>2501</v>
      </c>
      <c r="L151" s="126" t="s">
        <v>2502</v>
      </c>
      <c r="M151" s="128" t="s">
        <v>2503</v>
      </c>
      <c r="N151" s="126" t="s">
        <v>894</v>
      </c>
      <c r="O151" s="128" t="s">
        <v>2504</v>
      </c>
      <c r="P151" s="126" t="s">
        <v>2505</v>
      </c>
      <c r="Q151" s="126" t="s">
        <v>2506</v>
      </c>
      <c r="R151" s="126" t="s">
        <v>2506</v>
      </c>
      <c r="S151" s="126">
        <v>15000</v>
      </c>
      <c r="T151" s="126">
        <v>188422</v>
      </c>
      <c r="U151" s="126">
        <v>203422</v>
      </c>
      <c r="V151" s="126" t="s">
        <v>2507</v>
      </c>
      <c r="W151" s="129" t="s">
        <v>2508</v>
      </c>
      <c r="X151" t="s">
        <v>2509</v>
      </c>
      <c r="Y151" t="s">
        <v>644</v>
      </c>
      <c r="Z151" t="s">
        <v>645</v>
      </c>
    </row>
    <row r="152" spans="1:26" x14ac:dyDescent="0.3">
      <c r="A152" s="126" t="s">
        <v>2510</v>
      </c>
      <c r="B152" s="126" t="s">
        <v>1094</v>
      </c>
      <c r="C152" s="54" t="s">
        <v>702</v>
      </c>
      <c r="D152" s="127" t="s">
        <v>2511</v>
      </c>
      <c r="E152" s="126">
        <v>214250</v>
      </c>
      <c r="F152" s="126">
        <v>48</v>
      </c>
      <c r="G152" s="126">
        <v>6520</v>
      </c>
      <c r="H152" s="126" t="s">
        <v>630</v>
      </c>
      <c r="I152" s="126" t="s">
        <v>2512</v>
      </c>
      <c r="J152" s="126" t="s">
        <v>2513</v>
      </c>
      <c r="K152" s="126" t="s">
        <v>2514</v>
      </c>
      <c r="L152" s="1"/>
      <c r="M152" s="128" t="s">
        <v>2515</v>
      </c>
      <c r="N152" s="126" t="s">
        <v>894</v>
      </c>
      <c r="O152" s="128" t="s">
        <v>2516</v>
      </c>
      <c r="P152" s="126" t="s">
        <v>2517</v>
      </c>
      <c r="Q152" s="126" t="s">
        <v>2518</v>
      </c>
      <c r="R152" s="126" t="s">
        <v>2519</v>
      </c>
      <c r="S152" s="126">
        <v>15000</v>
      </c>
      <c r="T152" s="126">
        <v>340623</v>
      </c>
      <c r="U152" s="126">
        <v>355623</v>
      </c>
      <c r="V152" s="126" t="s">
        <v>2520</v>
      </c>
      <c r="W152" s="129" t="s">
        <v>2521</v>
      </c>
      <c r="X152" t="s">
        <v>2522</v>
      </c>
      <c r="Y152" t="s">
        <v>644</v>
      </c>
      <c r="Z152" t="s">
        <v>645</v>
      </c>
    </row>
    <row r="153" spans="1:26" x14ac:dyDescent="0.3">
      <c r="A153" s="1" t="s">
        <v>2523</v>
      </c>
      <c r="B153" s="126" t="s">
        <v>887</v>
      </c>
      <c r="C153" s="54" t="s">
        <v>1335</v>
      </c>
      <c r="D153" s="127" t="s">
        <v>2524</v>
      </c>
      <c r="E153" s="1">
        <v>51848</v>
      </c>
      <c r="F153" s="1">
        <v>28</v>
      </c>
      <c r="G153" s="1">
        <v>2679</v>
      </c>
      <c r="H153" s="1" t="s">
        <v>630</v>
      </c>
      <c r="I153" s="1" t="s">
        <v>2525</v>
      </c>
      <c r="J153" s="1" t="s">
        <v>2526</v>
      </c>
      <c r="K153" s="126" t="s">
        <v>2527</v>
      </c>
      <c r="L153" s="1" t="s">
        <v>2139</v>
      </c>
      <c r="M153" s="131">
        <v>222162</v>
      </c>
      <c r="N153" s="126" t="s">
        <v>894</v>
      </c>
      <c r="O153" s="131">
        <v>7084384433</v>
      </c>
      <c r="P153" s="1" t="s">
        <v>2528</v>
      </c>
      <c r="Q153" s="1" t="s">
        <v>2529</v>
      </c>
      <c r="R153" s="1" t="s">
        <v>2530</v>
      </c>
      <c r="S153" s="1">
        <v>3000</v>
      </c>
      <c r="T153" s="1">
        <v>12097</v>
      </c>
      <c r="U153" s="1">
        <v>15097</v>
      </c>
      <c r="V153" s="1" t="s">
        <v>1019</v>
      </c>
      <c r="W153" s="129" t="s">
        <v>2531</v>
      </c>
      <c r="X153" t="s">
        <v>2532</v>
      </c>
      <c r="Y153" t="s">
        <v>644</v>
      </c>
      <c r="Z153" t="s">
        <v>645</v>
      </c>
    </row>
    <row r="154" spans="1:26" x14ac:dyDescent="0.3">
      <c r="A154" s="1" t="s">
        <v>2533</v>
      </c>
      <c r="B154" s="126" t="s">
        <v>887</v>
      </c>
      <c r="C154" s="54" t="s">
        <v>1335</v>
      </c>
      <c r="D154" s="127" t="s">
        <v>2534</v>
      </c>
      <c r="E154" s="1">
        <v>33000</v>
      </c>
      <c r="F154" s="1">
        <v>18</v>
      </c>
      <c r="G154" s="1">
        <v>2195</v>
      </c>
      <c r="H154" s="1" t="s">
        <v>630</v>
      </c>
      <c r="I154" s="1" t="s">
        <v>2535</v>
      </c>
      <c r="J154" s="1" t="s">
        <v>2536</v>
      </c>
      <c r="K154" s="126" t="s">
        <v>2537</v>
      </c>
      <c r="L154" s="1" t="s">
        <v>1260</v>
      </c>
      <c r="M154" s="131">
        <v>204216</v>
      </c>
      <c r="N154" s="126" t="s">
        <v>894</v>
      </c>
      <c r="O154" s="131">
        <v>8393094874</v>
      </c>
      <c r="P154" s="1" t="s">
        <v>2538</v>
      </c>
      <c r="Q154" s="1" t="s">
        <v>2539</v>
      </c>
      <c r="R154" s="1" t="s">
        <v>2540</v>
      </c>
      <c r="S154" s="1">
        <v>3000</v>
      </c>
      <c r="T154" s="1">
        <v>25387</v>
      </c>
      <c r="U154" s="1">
        <v>28387</v>
      </c>
      <c r="V154" s="1" t="s">
        <v>685</v>
      </c>
      <c r="W154" s="129" t="s">
        <v>2541</v>
      </c>
      <c r="X154" t="s">
        <v>2542</v>
      </c>
      <c r="Y154" t="s">
        <v>644</v>
      </c>
      <c r="Z154" t="s">
        <v>645</v>
      </c>
    </row>
    <row r="155" spans="1:26" x14ac:dyDescent="0.3">
      <c r="A155" s="1" t="s">
        <v>2543</v>
      </c>
      <c r="B155" s="126" t="s">
        <v>887</v>
      </c>
      <c r="C155" s="54" t="s">
        <v>2544</v>
      </c>
      <c r="D155" s="127" t="s">
        <v>2545</v>
      </c>
      <c r="E155" s="1">
        <v>34900</v>
      </c>
      <c r="F155" s="1">
        <v>24</v>
      </c>
      <c r="G155" s="1">
        <v>2113</v>
      </c>
      <c r="H155" s="1" t="s">
        <v>630</v>
      </c>
      <c r="I155" s="1" t="s">
        <v>2546</v>
      </c>
      <c r="J155" s="1" t="s">
        <v>2547</v>
      </c>
      <c r="K155" s="126" t="s">
        <v>2548</v>
      </c>
      <c r="L155" s="1" t="s">
        <v>2549</v>
      </c>
      <c r="M155" s="131">
        <v>283203</v>
      </c>
      <c r="N155" s="126" t="s">
        <v>894</v>
      </c>
      <c r="O155" s="131">
        <v>8954901781</v>
      </c>
      <c r="P155" s="1" t="s">
        <v>682</v>
      </c>
      <c r="Q155" s="1" t="s">
        <v>2550</v>
      </c>
      <c r="R155" s="1" t="s">
        <v>2551</v>
      </c>
      <c r="S155" s="1">
        <v>3000</v>
      </c>
      <c r="T155" s="1">
        <v>77938</v>
      </c>
      <c r="U155" s="1">
        <v>80938</v>
      </c>
      <c r="V155" s="1" t="s">
        <v>817</v>
      </c>
      <c r="W155" s="129" t="s">
        <v>2552</v>
      </c>
      <c r="X155" t="s">
        <v>2553</v>
      </c>
      <c r="Y155" t="s">
        <v>644</v>
      </c>
      <c r="Z155" t="s">
        <v>645</v>
      </c>
    </row>
    <row r="156" spans="1:26" x14ac:dyDescent="0.3">
      <c r="A156" s="1" t="s">
        <v>2554</v>
      </c>
      <c r="B156" s="126" t="s">
        <v>953</v>
      </c>
      <c r="C156" s="54" t="s">
        <v>1335</v>
      </c>
      <c r="D156" s="127" t="s">
        <v>1373</v>
      </c>
      <c r="E156" s="1">
        <v>102900</v>
      </c>
      <c r="F156" s="1">
        <v>36</v>
      </c>
      <c r="G156" s="1">
        <v>3914</v>
      </c>
      <c r="H156" s="1" t="s">
        <v>630</v>
      </c>
      <c r="I156" s="1" t="s">
        <v>2555</v>
      </c>
      <c r="J156" s="1" t="s">
        <v>2556</v>
      </c>
      <c r="K156" s="126" t="s">
        <v>2557</v>
      </c>
      <c r="L156" s="1" t="s">
        <v>2558</v>
      </c>
      <c r="M156" s="131">
        <v>845453</v>
      </c>
      <c r="N156" s="126" t="s">
        <v>894</v>
      </c>
      <c r="O156" s="131">
        <v>8757929687</v>
      </c>
      <c r="P156" s="1" t="s">
        <v>2559</v>
      </c>
      <c r="Q156" s="1" t="s">
        <v>2560</v>
      </c>
      <c r="R156" s="1" t="s">
        <v>2561</v>
      </c>
      <c r="S156" s="1">
        <v>3000</v>
      </c>
      <c r="T156" s="1">
        <v>125312</v>
      </c>
      <c r="U156" s="1">
        <v>128312</v>
      </c>
      <c r="V156" s="1" t="s">
        <v>742</v>
      </c>
      <c r="W156" s="129" t="s">
        <v>2562</v>
      </c>
      <c r="X156" t="s">
        <v>2563</v>
      </c>
      <c r="Y156" t="s">
        <v>644</v>
      </c>
      <c r="Z156" t="s">
        <v>645</v>
      </c>
    </row>
    <row r="157" spans="1:26" x14ac:dyDescent="0.3">
      <c r="A157" s="1" t="s">
        <v>2564</v>
      </c>
      <c r="B157" s="126" t="s">
        <v>887</v>
      </c>
      <c r="C157" s="54" t="s">
        <v>2565</v>
      </c>
      <c r="D157" s="127" t="s">
        <v>2566</v>
      </c>
      <c r="E157" s="1">
        <v>89899</v>
      </c>
      <c r="F157" s="1">
        <v>36</v>
      </c>
      <c r="G157" s="1">
        <v>3209</v>
      </c>
      <c r="H157" s="1" t="s">
        <v>630</v>
      </c>
      <c r="I157" s="1" t="s">
        <v>2567</v>
      </c>
      <c r="J157" s="1" t="s">
        <v>2568</v>
      </c>
      <c r="K157" s="126" t="s">
        <v>2569</v>
      </c>
      <c r="L157" s="1" t="s">
        <v>892</v>
      </c>
      <c r="M157" s="131">
        <v>282009</v>
      </c>
      <c r="N157" s="126" t="s">
        <v>894</v>
      </c>
      <c r="O157" s="131">
        <v>8532872040</v>
      </c>
      <c r="P157" s="1" t="s">
        <v>2570</v>
      </c>
      <c r="Q157" s="1" t="s">
        <v>2571</v>
      </c>
      <c r="R157" s="1" t="s">
        <v>2572</v>
      </c>
      <c r="S157" s="1">
        <v>3000</v>
      </c>
      <c r="T157" s="1">
        <v>54970</v>
      </c>
      <c r="U157" s="1">
        <v>57970</v>
      </c>
      <c r="V157" s="1" t="s">
        <v>672</v>
      </c>
      <c r="W157" s="129" t="s">
        <v>2573</v>
      </c>
      <c r="X157" t="s">
        <v>2574</v>
      </c>
      <c r="Y157" t="s">
        <v>644</v>
      </c>
      <c r="Z157" t="s">
        <v>645</v>
      </c>
    </row>
    <row r="158" spans="1:26" x14ac:dyDescent="0.3">
      <c r="A158" s="1" t="s">
        <v>2575</v>
      </c>
      <c r="B158" s="126" t="s">
        <v>887</v>
      </c>
      <c r="C158" s="54" t="s">
        <v>1335</v>
      </c>
      <c r="D158" s="127" t="s">
        <v>2576</v>
      </c>
      <c r="E158" s="1">
        <v>35900</v>
      </c>
      <c r="F158" s="1">
        <v>18</v>
      </c>
      <c r="G158" s="1">
        <v>2476</v>
      </c>
      <c r="H158" s="1" t="s">
        <v>630</v>
      </c>
      <c r="I158" s="1" t="s">
        <v>2577</v>
      </c>
      <c r="J158" s="1" t="s">
        <v>2578</v>
      </c>
      <c r="K158" s="126" t="s">
        <v>2579</v>
      </c>
      <c r="L158" s="1" t="s">
        <v>2549</v>
      </c>
      <c r="M158" s="131">
        <v>283141</v>
      </c>
      <c r="N158" s="126" t="s">
        <v>894</v>
      </c>
      <c r="O158" s="131">
        <v>8445332400</v>
      </c>
      <c r="P158" s="1" t="s">
        <v>2580</v>
      </c>
      <c r="Q158" s="1" t="s">
        <v>2581</v>
      </c>
      <c r="R158" s="1" t="s">
        <v>2582</v>
      </c>
      <c r="S158" s="1">
        <v>3000</v>
      </c>
      <c r="T158" s="1">
        <v>59522</v>
      </c>
      <c r="U158" s="1">
        <v>62522</v>
      </c>
      <c r="V158" s="1" t="s">
        <v>817</v>
      </c>
      <c r="W158" s="129" t="s">
        <v>2583</v>
      </c>
      <c r="X158" t="s">
        <v>2584</v>
      </c>
      <c r="Y158" t="s">
        <v>644</v>
      </c>
      <c r="Z158" t="s">
        <v>645</v>
      </c>
    </row>
    <row r="159" spans="1:26" x14ac:dyDescent="0.3">
      <c r="A159" s="1" t="s">
        <v>2585</v>
      </c>
      <c r="B159" s="126" t="s">
        <v>887</v>
      </c>
      <c r="C159" s="54" t="s">
        <v>1335</v>
      </c>
      <c r="D159" s="127" t="s">
        <v>1109</v>
      </c>
      <c r="E159" s="1">
        <v>62630</v>
      </c>
      <c r="F159" s="1">
        <v>24</v>
      </c>
      <c r="G159" s="1">
        <v>3200</v>
      </c>
      <c r="H159" s="1" t="s">
        <v>630</v>
      </c>
      <c r="I159" s="1" t="s">
        <v>2586</v>
      </c>
      <c r="J159" s="1" t="s">
        <v>2587</v>
      </c>
      <c r="K159" s="126" t="s">
        <v>2588</v>
      </c>
      <c r="L159" s="1" t="s">
        <v>1149</v>
      </c>
      <c r="M159" s="131">
        <v>204213</v>
      </c>
      <c r="N159" s="126" t="s">
        <v>894</v>
      </c>
      <c r="O159" s="131">
        <v>9557107812</v>
      </c>
      <c r="P159" s="1" t="s">
        <v>2589</v>
      </c>
      <c r="Q159" s="1" t="s">
        <v>2590</v>
      </c>
      <c r="R159" s="1" t="s">
        <v>2591</v>
      </c>
      <c r="S159" s="1">
        <v>3000</v>
      </c>
      <c r="T159" s="1">
        <v>68900</v>
      </c>
      <c r="U159" s="1">
        <v>71900</v>
      </c>
      <c r="V159" s="1" t="s">
        <v>657</v>
      </c>
      <c r="W159" s="129" t="s">
        <v>2592</v>
      </c>
      <c r="X159" t="s">
        <v>2593</v>
      </c>
      <c r="Y159" t="s">
        <v>644</v>
      </c>
      <c r="Z159" t="s">
        <v>645</v>
      </c>
    </row>
    <row r="160" spans="1:26" x14ac:dyDescent="0.3">
      <c r="A160" s="1" t="s">
        <v>2594</v>
      </c>
      <c r="B160" s="126" t="s">
        <v>887</v>
      </c>
      <c r="C160" s="54" t="s">
        <v>676</v>
      </c>
      <c r="D160" s="127" t="s">
        <v>2595</v>
      </c>
      <c r="E160" s="1">
        <v>91900</v>
      </c>
      <c r="F160" s="1">
        <v>34</v>
      </c>
      <c r="G160" s="1">
        <v>3799</v>
      </c>
      <c r="H160" s="1" t="s">
        <v>630</v>
      </c>
      <c r="I160" s="1" t="s">
        <v>2596</v>
      </c>
      <c r="J160" s="1" t="s">
        <v>2597</v>
      </c>
      <c r="K160" s="126" t="s">
        <v>2598</v>
      </c>
      <c r="L160" s="1" t="s">
        <v>2400</v>
      </c>
      <c r="M160" s="131">
        <v>281122</v>
      </c>
      <c r="N160" s="126" t="s">
        <v>894</v>
      </c>
      <c r="O160" s="131">
        <v>8384810151</v>
      </c>
      <c r="P160" s="1" t="s">
        <v>2599</v>
      </c>
      <c r="Q160" s="1" t="s">
        <v>2600</v>
      </c>
      <c r="R160" s="1" t="s">
        <v>2601</v>
      </c>
      <c r="S160" s="1">
        <v>3000</v>
      </c>
      <c r="T160" s="1">
        <v>40251</v>
      </c>
      <c r="U160" s="1">
        <v>43251</v>
      </c>
      <c r="V160" s="1" t="s">
        <v>2602</v>
      </c>
      <c r="W160" s="129" t="s">
        <v>2603</v>
      </c>
      <c r="X160" t="s">
        <v>2604</v>
      </c>
      <c r="Y160" t="s">
        <v>644</v>
      </c>
      <c r="Z160" t="s">
        <v>645</v>
      </c>
    </row>
    <row r="161" spans="1:26" x14ac:dyDescent="0.3">
      <c r="A161" s="1" t="s">
        <v>2605</v>
      </c>
      <c r="B161" s="126" t="s">
        <v>887</v>
      </c>
      <c r="C161" s="54" t="s">
        <v>2544</v>
      </c>
      <c r="D161" s="127" t="s">
        <v>2606</v>
      </c>
      <c r="E161" s="1">
        <v>32900</v>
      </c>
      <c r="F161" s="1">
        <v>21</v>
      </c>
      <c r="G161" s="1">
        <v>1985</v>
      </c>
      <c r="H161" s="1" t="s">
        <v>630</v>
      </c>
      <c r="I161" s="1" t="s">
        <v>2607</v>
      </c>
      <c r="J161" s="1" t="s">
        <v>2608</v>
      </c>
      <c r="K161" s="126" t="s">
        <v>2609</v>
      </c>
      <c r="L161" s="1" t="s">
        <v>2549</v>
      </c>
      <c r="M161" s="131">
        <v>283203</v>
      </c>
      <c r="N161" s="126" t="s">
        <v>894</v>
      </c>
      <c r="O161" s="131">
        <v>7500823289</v>
      </c>
      <c r="P161" s="1" t="s">
        <v>2610</v>
      </c>
      <c r="Q161" s="1" t="s">
        <v>2611</v>
      </c>
      <c r="R161" s="1" t="s">
        <v>2612</v>
      </c>
      <c r="S161" s="1">
        <v>3000</v>
      </c>
      <c r="T161" s="1">
        <v>42655</v>
      </c>
      <c r="U161" s="1">
        <v>45655</v>
      </c>
      <c r="V161" s="1" t="s">
        <v>685</v>
      </c>
      <c r="W161" s="129" t="s">
        <v>2613</v>
      </c>
      <c r="X161" t="s">
        <v>2614</v>
      </c>
      <c r="Y161" t="s">
        <v>644</v>
      </c>
      <c r="Z161" t="s">
        <v>645</v>
      </c>
    </row>
    <row r="162" spans="1:26" x14ac:dyDescent="0.3">
      <c r="A162" s="1" t="s">
        <v>2615</v>
      </c>
      <c r="B162" s="126" t="s">
        <v>887</v>
      </c>
      <c r="C162" s="54" t="s">
        <v>1335</v>
      </c>
      <c r="D162" s="127" t="s">
        <v>2616</v>
      </c>
      <c r="E162" s="1">
        <v>47725</v>
      </c>
      <c r="F162" s="1">
        <v>24</v>
      </c>
      <c r="G162" s="1">
        <v>2307</v>
      </c>
      <c r="H162" s="1" t="s">
        <v>630</v>
      </c>
      <c r="I162" s="1" t="s">
        <v>2617</v>
      </c>
      <c r="J162" s="1" t="s">
        <v>2618</v>
      </c>
      <c r="K162" s="126" t="s">
        <v>2619</v>
      </c>
      <c r="L162" s="1" t="s">
        <v>1161</v>
      </c>
      <c r="M162" s="131">
        <v>246732</v>
      </c>
      <c r="N162" s="126" t="s">
        <v>894</v>
      </c>
      <c r="O162" s="131">
        <v>7533808548</v>
      </c>
      <c r="P162" s="1" t="s">
        <v>2620</v>
      </c>
      <c r="Q162" s="1" t="s">
        <v>2621</v>
      </c>
      <c r="R162" s="1" t="s">
        <v>2622</v>
      </c>
      <c r="S162" s="1">
        <v>3000</v>
      </c>
      <c r="T162" s="1">
        <v>30443</v>
      </c>
      <c r="U162" s="1">
        <v>33443</v>
      </c>
      <c r="V162" s="1" t="s">
        <v>817</v>
      </c>
      <c r="W162" s="129" t="s">
        <v>2623</v>
      </c>
      <c r="X162" t="s">
        <v>2624</v>
      </c>
      <c r="Y162" t="s">
        <v>644</v>
      </c>
      <c r="Z162" t="s">
        <v>645</v>
      </c>
    </row>
    <row r="163" spans="1:26" x14ac:dyDescent="0.3">
      <c r="A163" s="1" t="s">
        <v>2625</v>
      </c>
      <c r="B163" s="126" t="s">
        <v>887</v>
      </c>
      <c r="C163" s="54" t="s">
        <v>2254</v>
      </c>
      <c r="D163" s="127" t="s">
        <v>2626</v>
      </c>
      <c r="E163" s="1">
        <v>44358</v>
      </c>
      <c r="F163" s="1">
        <v>32</v>
      </c>
      <c r="G163" s="1">
        <v>2319</v>
      </c>
      <c r="H163" s="1" t="s">
        <v>630</v>
      </c>
      <c r="I163" s="1" t="s">
        <v>2627</v>
      </c>
      <c r="J163" s="1" t="s">
        <v>2628</v>
      </c>
      <c r="K163" s="126" t="s">
        <v>2629</v>
      </c>
      <c r="L163" s="1" t="s">
        <v>1149</v>
      </c>
      <c r="M163" s="131">
        <v>202121</v>
      </c>
      <c r="N163" s="126" t="s">
        <v>894</v>
      </c>
      <c r="O163" s="131">
        <v>8218293672</v>
      </c>
      <c r="P163" s="1" t="s">
        <v>682</v>
      </c>
      <c r="Q163" s="1" t="s">
        <v>2630</v>
      </c>
      <c r="R163" s="1" t="s">
        <v>2631</v>
      </c>
      <c r="S163" s="1">
        <v>3000</v>
      </c>
      <c r="T163" s="1">
        <v>27213</v>
      </c>
      <c r="U163" s="1">
        <v>30213</v>
      </c>
      <c r="V163" s="1" t="s">
        <v>1005</v>
      </c>
      <c r="W163" s="129" t="s">
        <v>2632</v>
      </c>
      <c r="X163" t="s">
        <v>2633</v>
      </c>
      <c r="Y163" t="s">
        <v>644</v>
      </c>
      <c r="Z163" t="s">
        <v>645</v>
      </c>
    </row>
    <row r="164" spans="1:26" x14ac:dyDescent="0.3">
      <c r="A164" s="1" t="s">
        <v>2634</v>
      </c>
      <c r="B164" s="126" t="s">
        <v>93</v>
      </c>
      <c r="C164" s="54" t="s">
        <v>1335</v>
      </c>
      <c r="D164" s="127" t="s">
        <v>888</v>
      </c>
      <c r="E164" s="1">
        <v>44500</v>
      </c>
      <c r="F164" s="1">
        <v>33</v>
      </c>
      <c r="G164" s="1">
        <v>2340</v>
      </c>
      <c r="H164" s="1" t="s">
        <v>630</v>
      </c>
      <c r="I164" s="1" t="s">
        <v>2635</v>
      </c>
      <c r="J164" s="1" t="s">
        <v>2636</v>
      </c>
      <c r="K164" s="126" t="s">
        <v>2637</v>
      </c>
      <c r="L164" s="1" t="s">
        <v>1784</v>
      </c>
      <c r="M164" s="131">
        <v>301019</v>
      </c>
      <c r="N164" s="126" t="s">
        <v>894</v>
      </c>
      <c r="O164" s="131">
        <v>7426081274</v>
      </c>
      <c r="P164" s="1" t="s">
        <v>2638</v>
      </c>
      <c r="Q164" s="1" t="s">
        <v>2639</v>
      </c>
      <c r="R164" s="1" t="s">
        <v>2640</v>
      </c>
      <c r="S164" s="1">
        <v>3000</v>
      </c>
      <c r="T164" s="1">
        <v>29247</v>
      </c>
      <c r="U164" s="1">
        <v>32247</v>
      </c>
      <c r="V164" s="1" t="s">
        <v>1019</v>
      </c>
      <c r="W164" s="129" t="s">
        <v>2641</v>
      </c>
      <c r="X164" t="s">
        <v>2642</v>
      </c>
      <c r="Y164" t="s">
        <v>644</v>
      </c>
      <c r="Z164" t="s">
        <v>645</v>
      </c>
    </row>
    <row r="165" spans="1:26" x14ac:dyDescent="0.3">
      <c r="A165" s="1" t="s">
        <v>2643</v>
      </c>
      <c r="B165" s="126" t="s">
        <v>887</v>
      </c>
      <c r="C165" s="54" t="s">
        <v>1335</v>
      </c>
      <c r="D165" s="127" t="s">
        <v>2644</v>
      </c>
      <c r="E165" s="1">
        <v>60432</v>
      </c>
      <c r="F165" s="1">
        <v>33</v>
      </c>
      <c r="G165" s="1">
        <v>3138</v>
      </c>
      <c r="H165" s="1" t="s">
        <v>630</v>
      </c>
      <c r="I165" s="1" t="s">
        <v>2645</v>
      </c>
      <c r="J165" s="1" t="s">
        <v>2646</v>
      </c>
      <c r="K165" s="126" t="s">
        <v>2647</v>
      </c>
      <c r="L165" s="1" t="s">
        <v>1390</v>
      </c>
      <c r="M165" s="131">
        <v>250342</v>
      </c>
      <c r="N165" s="126" t="s">
        <v>894</v>
      </c>
      <c r="O165" s="131">
        <v>9012554041</v>
      </c>
      <c r="P165" s="1" t="s">
        <v>2648</v>
      </c>
      <c r="Q165" s="1" t="s">
        <v>2649</v>
      </c>
      <c r="R165" s="1" t="s">
        <v>2650</v>
      </c>
      <c r="S165" s="1">
        <v>3000</v>
      </c>
      <c r="T165" s="1">
        <v>45519</v>
      </c>
      <c r="U165" s="1">
        <v>48519</v>
      </c>
      <c r="V165" s="1" t="s">
        <v>657</v>
      </c>
      <c r="W165" s="129" t="s">
        <v>2651</v>
      </c>
      <c r="X165" t="s">
        <v>2652</v>
      </c>
      <c r="Y165" t="s">
        <v>644</v>
      </c>
      <c r="Z165" t="s">
        <v>645</v>
      </c>
    </row>
    <row r="166" spans="1:26" x14ac:dyDescent="0.3">
      <c r="A166" s="1" t="s">
        <v>2653</v>
      </c>
      <c r="B166" s="126" t="s">
        <v>1094</v>
      </c>
      <c r="C166" s="1" t="s">
        <v>682</v>
      </c>
      <c r="D166" s="127" t="s">
        <v>2654</v>
      </c>
      <c r="E166" s="1">
        <v>100000</v>
      </c>
      <c r="F166" s="1">
        <v>36</v>
      </c>
      <c r="G166" s="1">
        <v>4020</v>
      </c>
      <c r="H166" s="1" t="s">
        <v>630</v>
      </c>
      <c r="I166" s="1" t="s">
        <v>2655</v>
      </c>
      <c r="J166" s="1" t="s">
        <v>2656</v>
      </c>
      <c r="K166" s="126" t="s">
        <v>2657</v>
      </c>
      <c r="L166" s="1"/>
      <c r="M166" s="131">
        <v>486226</v>
      </c>
      <c r="N166" s="126" t="s">
        <v>894</v>
      </c>
      <c r="O166" s="131">
        <v>9617742022</v>
      </c>
      <c r="P166" s="1" t="s">
        <v>2658</v>
      </c>
      <c r="Q166" s="1" t="s">
        <v>2659</v>
      </c>
      <c r="R166" s="1" t="s">
        <v>2660</v>
      </c>
      <c r="S166" s="1">
        <v>0</v>
      </c>
      <c r="T166" s="1">
        <v>136310</v>
      </c>
      <c r="U166" s="1">
        <v>136310</v>
      </c>
      <c r="V166" s="1" t="s">
        <v>1675</v>
      </c>
      <c r="W166" s="129" t="s">
        <v>2661</v>
      </c>
      <c r="X166" t="s">
        <v>2662</v>
      </c>
      <c r="Y166" t="s">
        <v>644</v>
      </c>
      <c r="Z166" t="s">
        <v>645</v>
      </c>
    </row>
    <row r="167" spans="1:26" x14ac:dyDescent="0.3">
      <c r="A167" s="1" t="s">
        <v>2663</v>
      </c>
      <c r="B167" s="126" t="s">
        <v>1094</v>
      </c>
      <c r="C167" s="54" t="s">
        <v>689</v>
      </c>
      <c r="D167" s="127" t="s">
        <v>2664</v>
      </c>
      <c r="E167" s="1">
        <v>55949</v>
      </c>
      <c r="F167" s="1">
        <v>24</v>
      </c>
      <c r="G167" s="1">
        <v>2915</v>
      </c>
      <c r="H167" s="1" t="s">
        <v>630</v>
      </c>
      <c r="I167" s="1" t="s">
        <v>2665</v>
      </c>
      <c r="J167" s="1" t="s">
        <v>2666</v>
      </c>
      <c r="K167" s="126" t="s">
        <v>2667</v>
      </c>
      <c r="L167" s="1" t="s">
        <v>2668</v>
      </c>
      <c r="M167" s="131">
        <v>481001</v>
      </c>
      <c r="N167" s="126" t="s">
        <v>894</v>
      </c>
      <c r="O167" s="131">
        <v>9993980289</v>
      </c>
      <c r="P167" s="1" t="s">
        <v>682</v>
      </c>
      <c r="Q167" s="1" t="s">
        <v>2669</v>
      </c>
      <c r="R167" s="1" t="s">
        <v>2670</v>
      </c>
      <c r="S167" s="1">
        <v>3000</v>
      </c>
      <c r="T167" s="1">
        <v>68360</v>
      </c>
      <c r="U167" s="1">
        <v>71360</v>
      </c>
      <c r="V167" s="1" t="s">
        <v>1078</v>
      </c>
      <c r="W167" s="129" t="s">
        <v>2671</v>
      </c>
      <c r="X167" t="s">
        <v>2672</v>
      </c>
      <c r="Y167" t="s">
        <v>644</v>
      </c>
      <c r="Z167" t="s">
        <v>645</v>
      </c>
    </row>
    <row r="168" spans="1:26" x14ac:dyDescent="0.3">
      <c r="A168" s="1" t="s">
        <v>2673</v>
      </c>
      <c r="B168" s="126" t="s">
        <v>887</v>
      </c>
      <c r="C168" s="54" t="s">
        <v>1335</v>
      </c>
      <c r="D168" s="127" t="s">
        <v>1095</v>
      </c>
      <c r="E168" s="1">
        <v>56530</v>
      </c>
      <c r="F168" s="1">
        <v>18</v>
      </c>
      <c r="G168" s="1">
        <v>3400</v>
      </c>
      <c r="H168" s="1" t="s">
        <v>630</v>
      </c>
      <c r="I168" s="1" t="s">
        <v>2674</v>
      </c>
      <c r="J168" s="1" t="s">
        <v>2675</v>
      </c>
      <c r="K168" s="126" t="s">
        <v>2676</v>
      </c>
      <c r="L168" s="1" t="s">
        <v>1149</v>
      </c>
      <c r="M168" s="131">
        <v>202124</v>
      </c>
      <c r="N168" s="126" t="s">
        <v>894</v>
      </c>
      <c r="O168" s="131">
        <v>8923772593</v>
      </c>
      <c r="P168" s="1" t="s">
        <v>2677</v>
      </c>
      <c r="Q168" s="1" t="s">
        <v>2678</v>
      </c>
      <c r="R168" s="1" t="s">
        <v>2679</v>
      </c>
      <c r="S168" s="1">
        <v>3000</v>
      </c>
      <c r="T168" s="1">
        <v>28085</v>
      </c>
      <c r="U168" s="1">
        <v>31085</v>
      </c>
      <c r="V168" s="1" t="s">
        <v>883</v>
      </c>
      <c r="W168" s="129" t="s">
        <v>2680</v>
      </c>
      <c r="X168" t="s">
        <v>2681</v>
      </c>
      <c r="Y168" t="s">
        <v>644</v>
      </c>
      <c r="Z168" t="s">
        <v>645</v>
      </c>
    </row>
    <row r="169" spans="1:26" x14ac:dyDescent="0.3">
      <c r="A169" s="1" t="s">
        <v>2682</v>
      </c>
      <c r="B169" s="126" t="s">
        <v>1094</v>
      </c>
      <c r="C169" s="54" t="s">
        <v>2254</v>
      </c>
      <c r="D169" s="127" t="s">
        <v>2683</v>
      </c>
      <c r="E169" s="1">
        <v>50900</v>
      </c>
      <c r="F169" s="1">
        <v>38</v>
      </c>
      <c r="G169" s="1">
        <v>2651</v>
      </c>
      <c r="H169" s="1" t="s">
        <v>630</v>
      </c>
      <c r="I169" s="1" t="s">
        <v>2684</v>
      </c>
      <c r="J169" s="1" t="s">
        <v>2685</v>
      </c>
      <c r="K169" s="126" t="s">
        <v>2686</v>
      </c>
      <c r="L169" s="1" t="s">
        <v>2687</v>
      </c>
      <c r="M169" s="131">
        <v>454449</v>
      </c>
      <c r="N169" s="126" t="s">
        <v>894</v>
      </c>
      <c r="O169" s="131">
        <v>8103985491</v>
      </c>
      <c r="P169" s="1" t="s">
        <v>2688</v>
      </c>
      <c r="Q169" s="1" t="s">
        <v>2689</v>
      </c>
      <c r="R169" s="1" t="s">
        <v>2690</v>
      </c>
      <c r="S169" s="1">
        <v>3000</v>
      </c>
      <c r="T169" s="1">
        <v>46250</v>
      </c>
      <c r="U169" s="1">
        <v>49250</v>
      </c>
      <c r="V169" s="1" t="s">
        <v>817</v>
      </c>
      <c r="W169" s="129" t="s">
        <v>2691</v>
      </c>
      <c r="X169" t="s">
        <v>2692</v>
      </c>
      <c r="Y169" t="s">
        <v>644</v>
      </c>
      <c r="Z169" t="s">
        <v>645</v>
      </c>
    </row>
    <row r="170" spans="1:26" x14ac:dyDescent="0.3">
      <c r="A170" s="1" t="s">
        <v>2693</v>
      </c>
      <c r="B170" s="126" t="s">
        <v>887</v>
      </c>
      <c r="C170" s="54" t="s">
        <v>2694</v>
      </c>
      <c r="D170" s="127" t="s">
        <v>1197</v>
      </c>
      <c r="E170" s="1">
        <v>40650</v>
      </c>
      <c r="F170" s="1">
        <v>22</v>
      </c>
      <c r="G170" s="1">
        <v>2730</v>
      </c>
      <c r="H170" s="1" t="s">
        <v>630</v>
      </c>
      <c r="I170" s="1" t="s">
        <v>2695</v>
      </c>
      <c r="J170" s="1" t="s">
        <v>2696</v>
      </c>
      <c r="K170" s="126" t="s">
        <v>2697</v>
      </c>
      <c r="L170" s="1" t="s">
        <v>892</v>
      </c>
      <c r="M170" s="131">
        <v>282001</v>
      </c>
      <c r="N170" s="126" t="s">
        <v>894</v>
      </c>
      <c r="O170" s="131">
        <v>9808518500</v>
      </c>
      <c r="P170" s="1" t="s">
        <v>2698</v>
      </c>
      <c r="Q170" s="1" t="s">
        <v>2699</v>
      </c>
      <c r="R170" s="1" t="s">
        <v>2700</v>
      </c>
      <c r="S170" s="1">
        <v>3000</v>
      </c>
      <c r="T170" s="1">
        <v>25758</v>
      </c>
      <c r="U170" s="1">
        <v>28758</v>
      </c>
      <c r="V170" s="1" t="s">
        <v>714</v>
      </c>
      <c r="W170" s="129" t="s">
        <v>2701</v>
      </c>
      <c r="X170" t="s">
        <v>2702</v>
      </c>
      <c r="Y170" t="s">
        <v>644</v>
      </c>
      <c r="Z170" t="s">
        <v>645</v>
      </c>
    </row>
    <row r="171" spans="1:26" x14ac:dyDescent="0.3">
      <c r="A171" s="1" t="s">
        <v>2703</v>
      </c>
      <c r="B171" s="126" t="s">
        <v>93</v>
      </c>
      <c r="C171" s="54" t="s">
        <v>1335</v>
      </c>
      <c r="D171" s="127" t="s">
        <v>2704</v>
      </c>
      <c r="E171" s="1">
        <v>52799</v>
      </c>
      <c r="F171" s="1">
        <v>24</v>
      </c>
      <c r="G171" s="1">
        <v>2596</v>
      </c>
      <c r="H171" s="1" t="s">
        <v>630</v>
      </c>
      <c r="I171" s="1" t="s">
        <v>2705</v>
      </c>
      <c r="J171" s="1" t="s">
        <v>2706</v>
      </c>
      <c r="K171" s="126" t="s">
        <v>2707</v>
      </c>
      <c r="L171" s="1" t="s">
        <v>1326</v>
      </c>
      <c r="M171" s="131">
        <v>302012</v>
      </c>
      <c r="N171" s="126" t="s">
        <v>894</v>
      </c>
      <c r="O171" s="131">
        <v>9660213897</v>
      </c>
      <c r="P171" s="1" t="s">
        <v>2708</v>
      </c>
      <c r="Q171" s="1" t="s">
        <v>2709</v>
      </c>
      <c r="R171" s="1" t="s">
        <v>2710</v>
      </c>
      <c r="S171" s="1">
        <v>3000</v>
      </c>
      <c r="T171" s="1">
        <v>32529</v>
      </c>
      <c r="U171" s="1">
        <v>35529</v>
      </c>
      <c r="V171" s="1" t="s">
        <v>2157</v>
      </c>
      <c r="W171" s="129" t="s">
        <v>2711</v>
      </c>
      <c r="X171" t="s">
        <v>2712</v>
      </c>
      <c r="Y171" t="s">
        <v>644</v>
      </c>
      <c r="Z171" t="s">
        <v>645</v>
      </c>
    </row>
    <row r="172" spans="1:26" x14ac:dyDescent="0.3">
      <c r="A172" s="1" t="s">
        <v>2713</v>
      </c>
      <c r="B172" s="126" t="s">
        <v>887</v>
      </c>
      <c r="C172" s="54" t="s">
        <v>2544</v>
      </c>
      <c r="D172" s="127" t="s">
        <v>2714</v>
      </c>
      <c r="E172" s="1">
        <v>42899</v>
      </c>
      <c r="F172" s="1">
        <v>18</v>
      </c>
      <c r="G172" s="1">
        <v>2992</v>
      </c>
      <c r="H172" s="1" t="s">
        <v>630</v>
      </c>
      <c r="I172" s="1" t="s">
        <v>2715</v>
      </c>
      <c r="J172" s="1" t="s">
        <v>2716</v>
      </c>
      <c r="K172" s="126" t="s">
        <v>2717</v>
      </c>
      <c r="L172" s="1" t="s">
        <v>2549</v>
      </c>
      <c r="M172" s="131">
        <v>283203</v>
      </c>
      <c r="N172" s="126" t="s">
        <v>894</v>
      </c>
      <c r="O172" s="131">
        <v>8650757652</v>
      </c>
      <c r="P172" s="1" t="s">
        <v>2718</v>
      </c>
      <c r="Q172" s="1" t="s">
        <v>2719</v>
      </c>
      <c r="R172" s="1" t="s">
        <v>2720</v>
      </c>
      <c r="S172" s="1">
        <v>3000</v>
      </c>
      <c r="T172" s="1">
        <v>41777</v>
      </c>
      <c r="U172" s="1">
        <v>44777</v>
      </c>
      <c r="V172" s="1" t="s">
        <v>2157</v>
      </c>
      <c r="W172" s="129" t="s">
        <v>2721</v>
      </c>
      <c r="X172" t="s">
        <v>2722</v>
      </c>
      <c r="Y172" t="s">
        <v>644</v>
      </c>
      <c r="Z172" t="s">
        <v>645</v>
      </c>
    </row>
    <row r="173" spans="1:26" x14ac:dyDescent="0.3">
      <c r="A173" s="1" t="s">
        <v>2723</v>
      </c>
      <c r="B173" s="126" t="s">
        <v>887</v>
      </c>
      <c r="C173" s="1" t="s">
        <v>682</v>
      </c>
      <c r="D173" s="127" t="s">
        <v>2724</v>
      </c>
      <c r="E173" s="1">
        <v>64612</v>
      </c>
      <c r="F173" s="1">
        <v>30</v>
      </c>
      <c r="G173" s="1">
        <v>3123</v>
      </c>
      <c r="H173" s="1" t="s">
        <v>630</v>
      </c>
      <c r="I173" s="1" t="s">
        <v>2725</v>
      </c>
      <c r="J173" s="1" t="s">
        <v>2726</v>
      </c>
      <c r="K173" s="126" t="s">
        <v>2727</v>
      </c>
      <c r="L173" s="1" t="s">
        <v>2728</v>
      </c>
      <c r="M173" s="131">
        <v>206001</v>
      </c>
      <c r="N173" s="126" t="s">
        <v>894</v>
      </c>
      <c r="O173" s="131">
        <v>9058771478</v>
      </c>
      <c r="P173" s="1" t="s">
        <v>2729</v>
      </c>
      <c r="Q173" s="1" t="s">
        <v>2730</v>
      </c>
      <c r="R173" s="1" t="s">
        <v>2731</v>
      </c>
      <c r="S173" s="1">
        <v>3000</v>
      </c>
      <c r="T173" s="1">
        <v>59033</v>
      </c>
      <c r="U173" s="1">
        <v>62033</v>
      </c>
      <c r="V173" s="1" t="s">
        <v>1593</v>
      </c>
      <c r="W173" s="129" t="s">
        <v>2732</v>
      </c>
      <c r="X173" t="s">
        <v>2733</v>
      </c>
      <c r="Y173" t="s">
        <v>644</v>
      </c>
      <c r="Z173" t="s">
        <v>645</v>
      </c>
    </row>
    <row r="174" spans="1:26" x14ac:dyDescent="0.3">
      <c r="A174" s="1" t="s">
        <v>2734</v>
      </c>
      <c r="B174" s="126" t="s">
        <v>887</v>
      </c>
      <c r="C174" s="54" t="s">
        <v>1335</v>
      </c>
      <c r="D174" s="127" t="s">
        <v>2735</v>
      </c>
      <c r="E174" s="1">
        <v>46000</v>
      </c>
      <c r="F174" s="1">
        <v>24</v>
      </c>
      <c r="G174" s="1">
        <v>2377</v>
      </c>
      <c r="H174" s="1" t="s">
        <v>630</v>
      </c>
      <c r="I174" s="1" t="s">
        <v>2736</v>
      </c>
      <c r="J174" s="1" t="s">
        <v>2737</v>
      </c>
      <c r="K174" s="126" t="s">
        <v>2738</v>
      </c>
      <c r="L174" s="1" t="s">
        <v>1161</v>
      </c>
      <c r="M174" s="131">
        <v>246733</v>
      </c>
      <c r="N174" s="126" t="s">
        <v>894</v>
      </c>
      <c r="O174" s="131">
        <v>9756763117</v>
      </c>
      <c r="P174" s="1" t="s">
        <v>2739</v>
      </c>
      <c r="Q174" s="1" t="s">
        <v>2740</v>
      </c>
      <c r="R174" s="1" t="s">
        <v>2741</v>
      </c>
      <c r="S174" s="1">
        <v>3000</v>
      </c>
      <c r="T174" s="1">
        <v>97904</v>
      </c>
      <c r="U174" s="1">
        <v>100904</v>
      </c>
      <c r="V174" s="1" t="s">
        <v>1141</v>
      </c>
      <c r="W174" s="129" t="s">
        <v>2742</v>
      </c>
      <c r="X174" t="s">
        <v>2743</v>
      </c>
      <c r="Y174" t="s">
        <v>644</v>
      </c>
      <c r="Z174" t="s">
        <v>645</v>
      </c>
    </row>
    <row r="175" spans="1:26" x14ac:dyDescent="0.3">
      <c r="A175" s="1" t="s">
        <v>2744</v>
      </c>
      <c r="B175" s="126" t="s">
        <v>887</v>
      </c>
      <c r="C175" s="54" t="s">
        <v>2745</v>
      </c>
      <c r="D175" s="127" t="s">
        <v>2746</v>
      </c>
      <c r="E175" s="1">
        <v>56016</v>
      </c>
      <c r="F175" s="1">
        <v>24</v>
      </c>
      <c r="G175" s="1">
        <v>2860</v>
      </c>
      <c r="H175" s="1" t="s">
        <v>630</v>
      </c>
      <c r="I175" s="1" t="s">
        <v>2747</v>
      </c>
      <c r="J175" s="1" t="s">
        <v>2748</v>
      </c>
      <c r="K175" s="126" t="s">
        <v>2749</v>
      </c>
      <c r="L175" s="1" t="s">
        <v>2400</v>
      </c>
      <c r="M175" s="131">
        <v>281006</v>
      </c>
      <c r="N175" s="126" t="s">
        <v>894</v>
      </c>
      <c r="O175" s="131">
        <v>9897455678</v>
      </c>
      <c r="P175" s="1" t="s">
        <v>2750</v>
      </c>
      <c r="Q175" s="1" t="s">
        <v>2751</v>
      </c>
      <c r="R175" s="1" t="s">
        <v>2752</v>
      </c>
      <c r="S175" s="1">
        <v>3000</v>
      </c>
      <c r="T175" s="1">
        <v>112941</v>
      </c>
      <c r="U175" s="1">
        <v>115941</v>
      </c>
      <c r="V175" s="1" t="s">
        <v>2753</v>
      </c>
      <c r="W175" s="129" t="s">
        <v>2754</v>
      </c>
      <c r="X175" t="s">
        <v>2755</v>
      </c>
      <c r="Y175" t="s">
        <v>644</v>
      </c>
      <c r="Z175" t="s">
        <v>645</v>
      </c>
    </row>
    <row r="176" spans="1:26" x14ac:dyDescent="0.3">
      <c r="A176" s="1" t="s">
        <v>2756</v>
      </c>
      <c r="B176" s="126" t="s">
        <v>1094</v>
      </c>
      <c r="C176" s="54" t="s">
        <v>2757</v>
      </c>
      <c r="D176" s="127" t="s">
        <v>2758</v>
      </c>
      <c r="E176" s="1">
        <v>44900</v>
      </c>
      <c r="F176" s="1">
        <v>24</v>
      </c>
      <c r="G176" s="1">
        <v>2281</v>
      </c>
      <c r="H176" s="1" t="s">
        <v>630</v>
      </c>
      <c r="I176" s="1" t="s">
        <v>2759</v>
      </c>
      <c r="J176" s="1" t="s">
        <v>2760</v>
      </c>
      <c r="K176" s="126" t="s">
        <v>2761</v>
      </c>
      <c r="L176" s="1"/>
      <c r="M176" s="131">
        <v>452001</v>
      </c>
      <c r="N176" s="126" t="s">
        <v>894</v>
      </c>
      <c r="O176" s="131">
        <v>8305094023</v>
      </c>
      <c r="P176" s="1" t="s">
        <v>2762</v>
      </c>
      <c r="Q176" s="1" t="s">
        <v>2763</v>
      </c>
      <c r="R176" s="1" t="s">
        <v>2764</v>
      </c>
      <c r="S176" s="1">
        <v>3000</v>
      </c>
      <c r="T176" s="1">
        <v>121631</v>
      </c>
      <c r="U176" s="1">
        <v>124631</v>
      </c>
      <c r="V176" s="1" t="s">
        <v>1141</v>
      </c>
      <c r="W176" s="129" t="s">
        <v>2765</v>
      </c>
      <c r="X176" t="s">
        <v>2766</v>
      </c>
      <c r="Y176" t="s">
        <v>644</v>
      </c>
      <c r="Z176" t="s">
        <v>645</v>
      </c>
    </row>
    <row r="177" spans="1:26" x14ac:dyDescent="0.3">
      <c r="A177" s="1" t="s">
        <v>2767</v>
      </c>
      <c r="B177" s="126" t="s">
        <v>1094</v>
      </c>
      <c r="C177" s="54" t="s">
        <v>2565</v>
      </c>
      <c r="D177" s="127" t="s">
        <v>2768</v>
      </c>
      <c r="E177" s="1">
        <v>53000</v>
      </c>
      <c r="F177" s="1">
        <v>24</v>
      </c>
      <c r="G177" s="1">
        <v>2783</v>
      </c>
      <c r="H177" s="1" t="s">
        <v>630</v>
      </c>
      <c r="I177" s="1" t="s">
        <v>2769</v>
      </c>
      <c r="J177" s="1" t="s">
        <v>2770</v>
      </c>
      <c r="K177" s="126" t="s">
        <v>2771</v>
      </c>
      <c r="L177" s="1" t="s">
        <v>2772</v>
      </c>
      <c r="M177" s="131">
        <v>465230</v>
      </c>
      <c r="N177" s="126" t="s">
        <v>894</v>
      </c>
      <c r="O177" s="131">
        <v>9926746773</v>
      </c>
      <c r="P177" s="1" t="s">
        <v>2773</v>
      </c>
      <c r="Q177" s="1" t="s">
        <v>2774</v>
      </c>
      <c r="R177" s="1" t="s">
        <v>2775</v>
      </c>
      <c r="S177" s="1">
        <v>3000</v>
      </c>
      <c r="T177" s="1">
        <v>90221</v>
      </c>
      <c r="U177" s="1">
        <v>93221</v>
      </c>
      <c r="V177" s="1" t="s">
        <v>2753</v>
      </c>
      <c r="W177" s="129" t="s">
        <v>2776</v>
      </c>
      <c r="X177" t="s">
        <v>2777</v>
      </c>
      <c r="Y177" t="s">
        <v>644</v>
      </c>
      <c r="Z177" t="s">
        <v>645</v>
      </c>
    </row>
    <row r="178" spans="1:26" x14ac:dyDescent="0.3">
      <c r="A178" s="1" t="s">
        <v>2778</v>
      </c>
      <c r="B178" s="126" t="s">
        <v>953</v>
      </c>
      <c r="C178" s="54" t="s">
        <v>2483</v>
      </c>
      <c r="D178" s="127" t="s">
        <v>1243</v>
      </c>
      <c r="E178" s="1">
        <v>85945</v>
      </c>
      <c r="F178" s="1">
        <v>41</v>
      </c>
      <c r="G178" s="1">
        <v>3496</v>
      </c>
      <c r="H178" s="1" t="s">
        <v>630</v>
      </c>
      <c r="I178" s="1" t="s">
        <v>2779</v>
      </c>
      <c r="J178" s="1" t="s">
        <v>2780</v>
      </c>
      <c r="K178" s="126" t="s">
        <v>2781</v>
      </c>
      <c r="L178" s="1" t="s">
        <v>2462</v>
      </c>
      <c r="M178" s="131">
        <v>812002</v>
      </c>
      <c r="N178" s="126" t="s">
        <v>894</v>
      </c>
      <c r="O178" s="131">
        <v>8298907938</v>
      </c>
      <c r="P178" s="1" t="s">
        <v>682</v>
      </c>
      <c r="Q178" s="1" t="s">
        <v>682</v>
      </c>
      <c r="R178" s="1" t="s">
        <v>682</v>
      </c>
      <c r="S178" s="1">
        <v>3000</v>
      </c>
      <c r="T178" s="1">
        <v>52121</v>
      </c>
      <c r="U178" s="1">
        <v>55121</v>
      </c>
      <c r="V178" s="1" t="s">
        <v>2782</v>
      </c>
      <c r="W178" s="129" t="s">
        <v>2783</v>
      </c>
      <c r="X178" t="s">
        <v>2784</v>
      </c>
      <c r="Y178" t="s">
        <v>644</v>
      </c>
      <c r="Z178" t="s">
        <v>645</v>
      </c>
    </row>
    <row r="179" spans="1:26" x14ac:dyDescent="0.3">
      <c r="A179" s="1" t="s">
        <v>2785</v>
      </c>
      <c r="B179" s="126" t="s">
        <v>953</v>
      </c>
      <c r="C179" s="54" t="s">
        <v>689</v>
      </c>
      <c r="D179" s="127" t="s">
        <v>2786</v>
      </c>
      <c r="E179" s="1">
        <v>59389</v>
      </c>
      <c r="F179" s="1">
        <v>30</v>
      </c>
      <c r="G179" s="1">
        <v>3128</v>
      </c>
      <c r="H179" s="1" t="s">
        <v>630</v>
      </c>
      <c r="I179" s="1" t="s">
        <v>2787</v>
      </c>
      <c r="J179" s="1" t="s">
        <v>2788</v>
      </c>
      <c r="K179" s="126" t="s">
        <v>2789</v>
      </c>
      <c r="L179" s="1" t="s">
        <v>2558</v>
      </c>
      <c r="M179" s="131">
        <v>845453</v>
      </c>
      <c r="N179" s="126" t="s">
        <v>894</v>
      </c>
      <c r="O179" s="131">
        <v>8873525252</v>
      </c>
      <c r="P179" s="1" t="s">
        <v>2790</v>
      </c>
      <c r="Q179" s="1" t="s">
        <v>2791</v>
      </c>
      <c r="R179" s="1" t="s">
        <v>2792</v>
      </c>
      <c r="S179" s="1">
        <v>3000</v>
      </c>
      <c r="T179" s="1">
        <v>48031</v>
      </c>
      <c r="U179" s="1">
        <v>51031</v>
      </c>
      <c r="V179" s="1" t="s">
        <v>992</v>
      </c>
      <c r="W179" s="129" t="s">
        <v>2793</v>
      </c>
      <c r="X179" t="s">
        <v>2794</v>
      </c>
      <c r="Y179" t="s">
        <v>644</v>
      </c>
      <c r="Z179" t="s">
        <v>645</v>
      </c>
    </row>
    <row r="180" spans="1:26" x14ac:dyDescent="0.3">
      <c r="A180" s="1" t="s">
        <v>2795</v>
      </c>
      <c r="B180" s="126" t="s">
        <v>1094</v>
      </c>
      <c r="C180" s="54" t="s">
        <v>2483</v>
      </c>
      <c r="D180" s="127" t="s">
        <v>1523</v>
      </c>
      <c r="E180" s="1">
        <v>37200</v>
      </c>
      <c r="F180" s="1">
        <v>24</v>
      </c>
      <c r="G180" s="1">
        <v>2112</v>
      </c>
      <c r="H180" s="1" t="s">
        <v>630</v>
      </c>
      <c r="I180" s="1" t="s">
        <v>2796</v>
      </c>
      <c r="J180" s="1" t="s">
        <v>2797</v>
      </c>
      <c r="K180" s="126" t="s">
        <v>2798</v>
      </c>
      <c r="L180" s="1" t="s">
        <v>2799</v>
      </c>
      <c r="M180" s="131">
        <v>458330</v>
      </c>
      <c r="N180" s="126" t="s">
        <v>894</v>
      </c>
      <c r="O180" s="131">
        <v>7024660647</v>
      </c>
      <c r="P180" s="1" t="s">
        <v>2800</v>
      </c>
      <c r="Q180" s="1" t="s">
        <v>2801</v>
      </c>
      <c r="R180" s="1" t="s">
        <v>2802</v>
      </c>
      <c r="S180" s="1">
        <v>3000</v>
      </c>
      <c r="T180" s="1">
        <v>101593</v>
      </c>
      <c r="U180" s="1">
        <v>104593</v>
      </c>
      <c r="V180" s="1" t="s">
        <v>805</v>
      </c>
      <c r="W180" s="129" t="s">
        <v>2803</v>
      </c>
      <c r="X180" t="s">
        <v>2804</v>
      </c>
      <c r="Y180" t="s">
        <v>644</v>
      </c>
      <c r="Z180" t="s">
        <v>645</v>
      </c>
    </row>
    <row r="181" spans="1:26" x14ac:dyDescent="0.3">
      <c r="A181" s="1" t="s">
        <v>2805</v>
      </c>
      <c r="B181" s="126" t="s">
        <v>1094</v>
      </c>
      <c r="C181" s="54" t="s">
        <v>2565</v>
      </c>
      <c r="D181" s="127" t="s">
        <v>2806</v>
      </c>
      <c r="E181" s="1">
        <v>45000</v>
      </c>
      <c r="F181" s="1">
        <v>56</v>
      </c>
      <c r="G181" s="1">
        <v>1981</v>
      </c>
      <c r="H181" s="1" t="s">
        <v>630</v>
      </c>
      <c r="I181" s="1" t="s">
        <v>2807</v>
      </c>
      <c r="J181" s="1" t="s">
        <v>2808</v>
      </c>
      <c r="K181" s="126" t="s">
        <v>2809</v>
      </c>
      <c r="L181" s="1" t="s">
        <v>2810</v>
      </c>
      <c r="M181" s="131">
        <v>456001</v>
      </c>
      <c r="N181" s="126" t="s">
        <v>894</v>
      </c>
      <c r="O181" s="131">
        <v>9907517369</v>
      </c>
      <c r="P181" s="1" t="s">
        <v>2811</v>
      </c>
      <c r="Q181" s="1" t="s">
        <v>2812</v>
      </c>
      <c r="R181" s="1" t="s">
        <v>2813</v>
      </c>
      <c r="S181" s="1">
        <v>3000</v>
      </c>
      <c r="T181" s="1">
        <v>103439</v>
      </c>
      <c r="U181" s="1">
        <v>106439</v>
      </c>
      <c r="V181" s="1" t="s">
        <v>1675</v>
      </c>
      <c r="W181" s="129" t="s">
        <v>2814</v>
      </c>
      <c r="X181" t="s">
        <v>2815</v>
      </c>
      <c r="Y181" t="s">
        <v>644</v>
      </c>
      <c r="Z181" t="s">
        <v>645</v>
      </c>
    </row>
    <row r="182" spans="1:26" x14ac:dyDescent="0.3">
      <c r="A182" s="1" t="s">
        <v>2816</v>
      </c>
      <c r="B182" s="126" t="s">
        <v>887</v>
      </c>
      <c r="C182" s="54" t="s">
        <v>2483</v>
      </c>
      <c r="D182" s="127" t="s">
        <v>2817</v>
      </c>
      <c r="E182" s="1">
        <v>36400</v>
      </c>
      <c r="F182" s="1">
        <v>28</v>
      </c>
      <c r="G182" s="1">
        <v>2063</v>
      </c>
      <c r="H182" s="1" t="s">
        <v>630</v>
      </c>
      <c r="I182" s="1" t="s">
        <v>2818</v>
      </c>
      <c r="J182" s="1" t="s">
        <v>2819</v>
      </c>
      <c r="K182" s="126" t="s">
        <v>2820</v>
      </c>
      <c r="L182" s="1" t="s">
        <v>1149</v>
      </c>
      <c r="M182" s="131">
        <v>202139</v>
      </c>
      <c r="N182" s="126" t="s">
        <v>894</v>
      </c>
      <c r="O182" s="131">
        <v>9719739001</v>
      </c>
      <c r="P182" s="1" t="s">
        <v>2821</v>
      </c>
      <c r="Q182" s="1" t="s">
        <v>2822</v>
      </c>
      <c r="R182" s="1" t="s">
        <v>2823</v>
      </c>
      <c r="S182" s="1">
        <v>3000</v>
      </c>
      <c r="T182" s="1">
        <v>20454</v>
      </c>
      <c r="U182" s="1">
        <v>23454</v>
      </c>
      <c r="V182" s="1" t="s">
        <v>685</v>
      </c>
      <c r="W182" s="129" t="s">
        <v>2824</v>
      </c>
      <c r="X182" t="s">
        <v>2825</v>
      </c>
      <c r="Y182" t="s">
        <v>644</v>
      </c>
      <c r="Z182" t="s">
        <v>645</v>
      </c>
    </row>
    <row r="183" spans="1:26" x14ac:dyDescent="0.3">
      <c r="A183" s="1" t="s">
        <v>2826</v>
      </c>
      <c r="B183" s="126" t="s">
        <v>93</v>
      </c>
      <c r="C183" s="54" t="s">
        <v>1335</v>
      </c>
      <c r="D183" s="127" t="s">
        <v>2827</v>
      </c>
      <c r="E183" s="1">
        <v>104999</v>
      </c>
      <c r="F183" s="1">
        <v>30</v>
      </c>
      <c r="G183" s="1">
        <v>4664</v>
      </c>
      <c r="H183" s="1" t="s">
        <v>630</v>
      </c>
      <c r="I183" s="1" t="s">
        <v>2828</v>
      </c>
      <c r="J183" s="1" t="s">
        <v>2829</v>
      </c>
      <c r="K183" s="126" t="s">
        <v>2830</v>
      </c>
      <c r="L183" s="1" t="s">
        <v>1326</v>
      </c>
      <c r="M183" s="131">
        <v>303108</v>
      </c>
      <c r="N183" s="126" t="s">
        <v>894</v>
      </c>
      <c r="O183" s="131">
        <v>8000985362</v>
      </c>
      <c r="P183" s="1" t="s">
        <v>2831</v>
      </c>
      <c r="Q183" s="1" t="s">
        <v>2832</v>
      </c>
      <c r="R183" s="1" t="s">
        <v>2833</v>
      </c>
      <c r="S183" s="1">
        <v>3000</v>
      </c>
      <c r="T183" s="1">
        <v>114369</v>
      </c>
      <c r="U183" s="1">
        <v>117369</v>
      </c>
      <c r="V183" s="1" t="s">
        <v>1580</v>
      </c>
      <c r="W183" s="129" t="s">
        <v>2834</v>
      </c>
      <c r="X183" t="s">
        <v>2835</v>
      </c>
      <c r="Y183" t="s">
        <v>644</v>
      </c>
      <c r="Z183" t="s">
        <v>645</v>
      </c>
    </row>
    <row r="184" spans="1:26" x14ac:dyDescent="0.3">
      <c r="A184" s="1" t="s">
        <v>2836</v>
      </c>
      <c r="B184" s="126" t="s">
        <v>1094</v>
      </c>
      <c r="C184" s="54" t="s">
        <v>689</v>
      </c>
      <c r="D184" s="127" t="s">
        <v>2837</v>
      </c>
      <c r="E184" s="1">
        <v>55260</v>
      </c>
      <c r="F184" s="1">
        <v>22</v>
      </c>
      <c r="G184" s="1">
        <v>2950</v>
      </c>
      <c r="H184" s="1" t="s">
        <v>630</v>
      </c>
      <c r="I184" s="1" t="s">
        <v>2838</v>
      </c>
      <c r="J184" s="1" t="s">
        <v>2839</v>
      </c>
      <c r="K184" s="126" t="s">
        <v>2840</v>
      </c>
      <c r="L184" s="1" t="s">
        <v>1415</v>
      </c>
      <c r="M184" s="131">
        <v>486670</v>
      </c>
      <c r="N184" s="126" t="s">
        <v>894</v>
      </c>
      <c r="O184" s="131">
        <v>8085550522</v>
      </c>
      <c r="P184" s="1" t="s">
        <v>2841</v>
      </c>
      <c r="Q184" s="1" t="s">
        <v>2842</v>
      </c>
      <c r="R184" s="1" t="s">
        <v>2843</v>
      </c>
      <c r="S184" s="1">
        <v>3000</v>
      </c>
      <c r="T184" s="1">
        <v>38139</v>
      </c>
      <c r="U184" s="1">
        <v>41139</v>
      </c>
      <c r="V184" s="1" t="s">
        <v>1078</v>
      </c>
      <c r="W184" s="129" t="s">
        <v>2844</v>
      </c>
      <c r="X184" t="s">
        <v>2845</v>
      </c>
      <c r="Y184" t="s">
        <v>644</v>
      </c>
      <c r="Z184" t="s">
        <v>645</v>
      </c>
    </row>
    <row r="185" spans="1:26" x14ac:dyDescent="0.3">
      <c r="A185" s="1" t="s">
        <v>2846</v>
      </c>
      <c r="B185" s="126" t="s">
        <v>887</v>
      </c>
      <c r="C185" s="54" t="s">
        <v>1335</v>
      </c>
      <c r="D185" s="127" t="s">
        <v>2847</v>
      </c>
      <c r="E185" s="1">
        <v>42900</v>
      </c>
      <c r="F185" s="1">
        <v>24</v>
      </c>
      <c r="G185" s="1">
        <v>2408</v>
      </c>
      <c r="H185" s="1" t="s">
        <v>630</v>
      </c>
      <c r="I185" s="1" t="s">
        <v>2848</v>
      </c>
      <c r="J185" s="1" t="s">
        <v>2849</v>
      </c>
      <c r="K185" s="126" t="s">
        <v>2850</v>
      </c>
      <c r="L185" s="1" t="s">
        <v>1174</v>
      </c>
      <c r="M185" s="131">
        <v>247663</v>
      </c>
      <c r="N185" s="126" t="s">
        <v>894</v>
      </c>
      <c r="O185" s="131">
        <v>8476856674</v>
      </c>
      <c r="P185" s="1" t="s">
        <v>2851</v>
      </c>
      <c r="Q185" s="1" t="s">
        <v>2852</v>
      </c>
      <c r="R185" s="1" t="s">
        <v>2853</v>
      </c>
      <c r="S185" s="1">
        <v>3000</v>
      </c>
      <c r="T185" s="1">
        <v>64834</v>
      </c>
      <c r="U185" s="1">
        <v>67834</v>
      </c>
      <c r="V185" s="1" t="s">
        <v>1141</v>
      </c>
      <c r="W185" s="129" t="s">
        <v>2854</v>
      </c>
      <c r="X185" t="s">
        <v>2855</v>
      </c>
      <c r="Y185" t="s">
        <v>644</v>
      </c>
      <c r="Z185" t="s">
        <v>645</v>
      </c>
    </row>
    <row r="186" spans="1:26" x14ac:dyDescent="0.3">
      <c r="A186" s="1" t="s">
        <v>2856</v>
      </c>
      <c r="B186" s="126" t="s">
        <v>887</v>
      </c>
      <c r="C186" s="54" t="s">
        <v>2857</v>
      </c>
      <c r="D186" s="127" t="s">
        <v>2858</v>
      </c>
      <c r="E186" s="1">
        <v>55071</v>
      </c>
      <c r="F186" s="1">
        <v>29</v>
      </c>
      <c r="G186" s="1">
        <v>2860</v>
      </c>
      <c r="H186" s="1" t="s">
        <v>630</v>
      </c>
      <c r="I186" s="1" t="s">
        <v>2859</v>
      </c>
      <c r="J186" s="1" t="s">
        <v>2500</v>
      </c>
      <c r="K186" s="126" t="s">
        <v>2860</v>
      </c>
      <c r="L186" s="1" t="s">
        <v>892</v>
      </c>
      <c r="M186" s="131">
        <v>282001</v>
      </c>
      <c r="N186" s="126" t="s">
        <v>894</v>
      </c>
      <c r="O186" s="131">
        <v>7088897253</v>
      </c>
      <c r="P186" s="1" t="s">
        <v>2861</v>
      </c>
      <c r="Q186" s="1" t="s">
        <v>2862</v>
      </c>
      <c r="R186" s="1" t="s">
        <v>2863</v>
      </c>
      <c r="S186" s="1">
        <v>3000</v>
      </c>
      <c r="T186" s="1">
        <v>16293</v>
      </c>
      <c r="U186" s="1">
        <v>19293</v>
      </c>
      <c r="V186" s="1" t="s">
        <v>1019</v>
      </c>
      <c r="W186" s="129" t="s">
        <v>2864</v>
      </c>
      <c r="X186" t="s">
        <v>2865</v>
      </c>
      <c r="Y186" t="s">
        <v>644</v>
      </c>
      <c r="Z186" t="s">
        <v>645</v>
      </c>
    </row>
    <row r="187" spans="1:26" x14ac:dyDescent="0.3">
      <c r="A187" s="1" t="s">
        <v>2866</v>
      </c>
      <c r="B187" s="126" t="s">
        <v>2087</v>
      </c>
      <c r="C187" s="54" t="s">
        <v>1335</v>
      </c>
      <c r="D187" s="127" t="s">
        <v>2867</v>
      </c>
      <c r="E187" s="1">
        <v>54900</v>
      </c>
      <c r="F187" s="1">
        <v>22</v>
      </c>
      <c r="G187" s="1">
        <v>3928</v>
      </c>
      <c r="H187" s="1" t="s">
        <v>630</v>
      </c>
      <c r="I187" s="1" t="s">
        <v>2868</v>
      </c>
      <c r="J187" s="1" t="s">
        <v>2869</v>
      </c>
      <c r="K187" s="126" t="s">
        <v>2870</v>
      </c>
      <c r="L187" s="1" t="s">
        <v>2092</v>
      </c>
      <c r="M187" s="131">
        <v>497226</v>
      </c>
      <c r="N187" s="126" t="s">
        <v>894</v>
      </c>
      <c r="O187" s="131">
        <v>7747803822</v>
      </c>
      <c r="P187" s="1" t="s">
        <v>2871</v>
      </c>
      <c r="Q187" s="1" t="s">
        <v>2872</v>
      </c>
      <c r="R187" s="1" t="s">
        <v>2873</v>
      </c>
      <c r="S187" s="1">
        <v>3000</v>
      </c>
      <c r="T187" s="1">
        <v>89712</v>
      </c>
      <c r="U187" s="1">
        <v>92712</v>
      </c>
      <c r="V187" s="1" t="s">
        <v>1032</v>
      </c>
      <c r="W187" s="129" t="s">
        <v>2874</v>
      </c>
      <c r="X187" t="s">
        <v>2875</v>
      </c>
      <c r="Y187" t="s">
        <v>644</v>
      </c>
      <c r="Z187" t="s">
        <v>645</v>
      </c>
    </row>
    <row r="188" spans="1:26" x14ac:dyDescent="0.3">
      <c r="A188" s="1" t="s">
        <v>2876</v>
      </c>
      <c r="B188" s="126" t="s">
        <v>887</v>
      </c>
      <c r="C188" s="54" t="s">
        <v>2254</v>
      </c>
      <c r="D188" s="127" t="s">
        <v>2877</v>
      </c>
      <c r="E188" s="1">
        <v>42750</v>
      </c>
      <c r="F188" s="1">
        <v>28</v>
      </c>
      <c r="G188" s="1">
        <v>2102</v>
      </c>
      <c r="H188" s="1" t="s">
        <v>630</v>
      </c>
      <c r="I188" s="1" t="s">
        <v>2878</v>
      </c>
      <c r="J188" s="1" t="s">
        <v>2879</v>
      </c>
      <c r="K188" s="126" t="s">
        <v>2880</v>
      </c>
      <c r="L188" s="1" t="s">
        <v>892</v>
      </c>
      <c r="M188" s="131">
        <v>282007</v>
      </c>
      <c r="N188" s="126" t="s">
        <v>894</v>
      </c>
      <c r="O188" s="131">
        <v>8909989327</v>
      </c>
      <c r="P188" s="1" t="s">
        <v>2881</v>
      </c>
      <c r="Q188" s="1" t="s">
        <v>2882</v>
      </c>
      <c r="R188" s="1" t="s">
        <v>2883</v>
      </c>
      <c r="S188" s="1">
        <v>3000</v>
      </c>
      <c r="T188" s="1">
        <v>29011</v>
      </c>
      <c r="U188" s="1">
        <v>32011</v>
      </c>
      <c r="V188" s="1" t="s">
        <v>817</v>
      </c>
      <c r="W188" s="129" t="s">
        <v>2884</v>
      </c>
      <c r="X188" t="s">
        <v>2885</v>
      </c>
      <c r="Y188" t="s">
        <v>644</v>
      </c>
      <c r="Z188" t="s">
        <v>645</v>
      </c>
    </row>
    <row r="189" spans="1:26" x14ac:dyDescent="0.3">
      <c r="A189" s="1" t="s">
        <v>2886</v>
      </c>
      <c r="B189" s="126" t="s">
        <v>93</v>
      </c>
      <c r="C189" s="1" t="s">
        <v>682</v>
      </c>
      <c r="D189" s="127" t="s">
        <v>1109</v>
      </c>
      <c r="E189" s="1">
        <v>48600</v>
      </c>
      <c r="F189" s="1">
        <v>34</v>
      </c>
      <c r="G189" s="1">
        <v>2208</v>
      </c>
      <c r="H189" s="1" t="s">
        <v>630</v>
      </c>
      <c r="I189" s="1" t="s">
        <v>2887</v>
      </c>
      <c r="J189" s="1" t="s">
        <v>2888</v>
      </c>
      <c r="K189" s="126" t="s">
        <v>2889</v>
      </c>
      <c r="L189" s="1" t="s">
        <v>1247</v>
      </c>
      <c r="M189" s="131">
        <v>335524</v>
      </c>
      <c r="N189" s="126" t="s">
        <v>894</v>
      </c>
      <c r="O189" s="131">
        <v>7340378414</v>
      </c>
      <c r="P189" s="1" t="s">
        <v>2890</v>
      </c>
      <c r="Q189" s="1" t="s">
        <v>2891</v>
      </c>
      <c r="R189" s="1" t="s">
        <v>2892</v>
      </c>
      <c r="S189" s="1">
        <v>0</v>
      </c>
      <c r="T189" s="1">
        <v>17690</v>
      </c>
      <c r="U189" s="1">
        <v>17690</v>
      </c>
      <c r="V189" s="1" t="s">
        <v>805</v>
      </c>
      <c r="W189" s="129" t="s">
        <v>2893</v>
      </c>
      <c r="X189" t="s">
        <v>2894</v>
      </c>
      <c r="Y189" t="s">
        <v>644</v>
      </c>
      <c r="Z189" t="s">
        <v>645</v>
      </c>
    </row>
    <row r="190" spans="1:26" x14ac:dyDescent="0.3">
      <c r="A190" s="1" t="s">
        <v>2895</v>
      </c>
      <c r="B190" s="126" t="s">
        <v>89</v>
      </c>
      <c r="C190" s="54" t="s">
        <v>689</v>
      </c>
      <c r="D190" s="127" t="s">
        <v>1221</v>
      </c>
      <c r="E190" s="1">
        <v>105900</v>
      </c>
      <c r="F190" s="1">
        <v>36</v>
      </c>
      <c r="G190" s="1">
        <v>4195</v>
      </c>
      <c r="H190" s="1" t="s">
        <v>630</v>
      </c>
      <c r="I190" s="1" t="s">
        <v>2896</v>
      </c>
      <c r="J190" s="1" t="s">
        <v>2897</v>
      </c>
      <c r="K190" s="126" t="s">
        <v>2898</v>
      </c>
      <c r="L190" s="1" t="s">
        <v>2899</v>
      </c>
      <c r="M190" s="131">
        <v>784001</v>
      </c>
      <c r="N190" s="126" t="s">
        <v>894</v>
      </c>
      <c r="O190" s="131">
        <v>9954082976</v>
      </c>
      <c r="P190" s="1" t="s">
        <v>2900</v>
      </c>
      <c r="Q190" s="1" t="s">
        <v>2901</v>
      </c>
      <c r="R190" s="1" t="s">
        <v>2902</v>
      </c>
      <c r="S190" s="1">
        <v>3000</v>
      </c>
      <c r="T190" s="1">
        <v>169665</v>
      </c>
      <c r="U190" s="1">
        <v>172665</v>
      </c>
      <c r="V190" s="1" t="s">
        <v>2903</v>
      </c>
      <c r="W190" s="129" t="s">
        <v>2904</v>
      </c>
      <c r="X190" t="s">
        <v>2905</v>
      </c>
      <c r="Y190" t="s">
        <v>644</v>
      </c>
      <c r="Z190" t="s">
        <v>645</v>
      </c>
    </row>
    <row r="191" spans="1:26" x14ac:dyDescent="0.3">
      <c r="A191" s="1" t="s">
        <v>2906</v>
      </c>
      <c r="B191" s="126" t="s">
        <v>953</v>
      </c>
      <c r="C191" s="54" t="s">
        <v>2483</v>
      </c>
      <c r="D191" s="127" t="s">
        <v>2907</v>
      </c>
      <c r="E191" s="1">
        <v>106900</v>
      </c>
      <c r="F191" s="1">
        <v>36</v>
      </c>
      <c r="G191" s="1">
        <v>4217</v>
      </c>
      <c r="H191" s="1" t="s">
        <v>630</v>
      </c>
      <c r="I191" s="1" t="s">
        <v>2908</v>
      </c>
      <c r="J191" s="1" t="s">
        <v>2909</v>
      </c>
      <c r="K191" s="126" t="s">
        <v>2910</v>
      </c>
      <c r="L191" s="1" t="s">
        <v>1377</v>
      </c>
      <c r="M191" s="131">
        <v>843115</v>
      </c>
      <c r="N191" s="126" t="s">
        <v>894</v>
      </c>
      <c r="O191" s="131">
        <v>6207293834</v>
      </c>
      <c r="P191" s="1" t="s">
        <v>2911</v>
      </c>
      <c r="Q191" s="1" t="s">
        <v>2912</v>
      </c>
      <c r="R191" s="1" t="s">
        <v>2913</v>
      </c>
      <c r="S191" s="1">
        <v>3000</v>
      </c>
      <c r="T191" s="1">
        <v>131434</v>
      </c>
      <c r="U191" s="1">
        <v>134434</v>
      </c>
      <c r="V191" s="1" t="s">
        <v>742</v>
      </c>
      <c r="W191" s="129" t="s">
        <v>2914</v>
      </c>
      <c r="X191" t="s">
        <v>2915</v>
      </c>
      <c r="Y191" t="s">
        <v>644</v>
      </c>
      <c r="Z191" t="s">
        <v>645</v>
      </c>
    </row>
    <row r="192" spans="1:26" x14ac:dyDescent="0.3">
      <c r="A192" s="1" t="s">
        <v>2916</v>
      </c>
      <c r="B192" s="126" t="s">
        <v>887</v>
      </c>
      <c r="C192" s="54" t="s">
        <v>1335</v>
      </c>
      <c r="D192" s="127" t="s">
        <v>2917</v>
      </c>
      <c r="E192" s="1">
        <v>45900</v>
      </c>
      <c r="F192" s="1">
        <v>29</v>
      </c>
      <c r="G192" s="1">
        <v>2826</v>
      </c>
      <c r="H192" s="1" t="s">
        <v>630</v>
      </c>
      <c r="I192" s="1" t="s">
        <v>2918</v>
      </c>
      <c r="J192" s="1" t="s">
        <v>2919</v>
      </c>
      <c r="K192" s="126" t="s">
        <v>2920</v>
      </c>
      <c r="L192" s="1" t="s">
        <v>1260</v>
      </c>
      <c r="M192" s="131">
        <v>204102</v>
      </c>
      <c r="N192" s="126" t="s">
        <v>894</v>
      </c>
      <c r="O192" s="131">
        <v>9625999923</v>
      </c>
      <c r="P192" s="1" t="s">
        <v>2921</v>
      </c>
      <c r="Q192" s="1" t="s">
        <v>2922</v>
      </c>
      <c r="R192" s="1" t="s">
        <v>2923</v>
      </c>
      <c r="S192" s="1">
        <v>3000</v>
      </c>
      <c r="T192" s="1">
        <v>37904</v>
      </c>
      <c r="U192" s="1">
        <v>40904</v>
      </c>
      <c r="V192" s="1" t="s">
        <v>817</v>
      </c>
      <c r="W192" s="129" t="s">
        <v>2924</v>
      </c>
      <c r="X192" t="s">
        <v>2925</v>
      </c>
      <c r="Y192" t="s">
        <v>644</v>
      </c>
      <c r="Z192" t="s">
        <v>645</v>
      </c>
    </row>
    <row r="193" spans="1:26" x14ac:dyDescent="0.3">
      <c r="A193" s="1" t="s">
        <v>2926</v>
      </c>
      <c r="B193" s="126" t="s">
        <v>887</v>
      </c>
      <c r="C193" s="54" t="s">
        <v>2857</v>
      </c>
      <c r="D193" s="127" t="s">
        <v>2927</v>
      </c>
      <c r="E193" s="1">
        <v>49336</v>
      </c>
      <c r="F193" s="1">
        <v>29</v>
      </c>
      <c r="G193" s="1">
        <v>2586</v>
      </c>
      <c r="H193" s="1" t="s">
        <v>630</v>
      </c>
      <c r="I193" s="1" t="s">
        <v>2928</v>
      </c>
      <c r="J193" s="1" t="s">
        <v>2929</v>
      </c>
      <c r="K193" s="126" t="s">
        <v>2930</v>
      </c>
      <c r="L193" s="1" t="s">
        <v>892</v>
      </c>
      <c r="M193" s="131">
        <v>283119</v>
      </c>
      <c r="N193" s="126" t="s">
        <v>894</v>
      </c>
      <c r="O193" s="131">
        <v>9781793589</v>
      </c>
      <c r="P193" s="1" t="s">
        <v>2931</v>
      </c>
      <c r="Q193" s="1" t="s">
        <v>2932</v>
      </c>
      <c r="R193" s="1" t="s">
        <v>2933</v>
      </c>
      <c r="S193" s="1">
        <v>3000</v>
      </c>
      <c r="T193" s="1">
        <v>15512</v>
      </c>
      <c r="U193" s="1">
        <v>18512</v>
      </c>
      <c r="V193" s="1" t="s">
        <v>1105</v>
      </c>
      <c r="W193" s="129" t="s">
        <v>2934</v>
      </c>
      <c r="X193" t="s">
        <v>2935</v>
      </c>
      <c r="Y193" t="s">
        <v>644</v>
      </c>
      <c r="Z193" t="s">
        <v>645</v>
      </c>
    </row>
    <row r="194" spans="1:26" x14ac:dyDescent="0.3">
      <c r="A194" s="1" t="s">
        <v>2936</v>
      </c>
      <c r="B194" s="126" t="s">
        <v>887</v>
      </c>
      <c r="C194" s="54" t="s">
        <v>1335</v>
      </c>
      <c r="D194" s="127" t="s">
        <v>2484</v>
      </c>
      <c r="E194" s="1">
        <v>51595</v>
      </c>
      <c r="F194" s="1">
        <v>28</v>
      </c>
      <c r="G194" s="1">
        <v>2636</v>
      </c>
      <c r="H194" s="1" t="s">
        <v>630</v>
      </c>
      <c r="I194" s="1" t="s">
        <v>2937</v>
      </c>
      <c r="J194" s="1" t="s">
        <v>2938</v>
      </c>
      <c r="K194" s="126" t="s">
        <v>2939</v>
      </c>
      <c r="L194" s="1" t="s">
        <v>2940</v>
      </c>
      <c r="M194" s="131">
        <v>262001</v>
      </c>
      <c r="N194" s="126" t="s">
        <v>894</v>
      </c>
      <c r="O194" s="131">
        <v>7078500769</v>
      </c>
      <c r="P194" s="1" t="s">
        <v>2941</v>
      </c>
      <c r="Q194" s="1" t="s">
        <v>2942</v>
      </c>
      <c r="R194" s="1" t="s">
        <v>2943</v>
      </c>
      <c r="S194" s="1">
        <v>3000</v>
      </c>
      <c r="T194" s="1">
        <v>38497</v>
      </c>
      <c r="U194" s="1">
        <v>41497</v>
      </c>
      <c r="V194" s="1" t="s">
        <v>992</v>
      </c>
      <c r="W194" s="129" t="s">
        <v>2944</v>
      </c>
      <c r="X194" t="s">
        <v>2945</v>
      </c>
      <c r="Y194" t="s">
        <v>644</v>
      </c>
      <c r="Z194" t="s">
        <v>645</v>
      </c>
    </row>
    <row r="195" spans="1:26" x14ac:dyDescent="0.3">
      <c r="A195" s="1" t="s">
        <v>2946</v>
      </c>
      <c r="B195" s="126" t="s">
        <v>887</v>
      </c>
      <c r="C195" s="54" t="s">
        <v>2757</v>
      </c>
      <c r="D195" s="127" t="s">
        <v>2947</v>
      </c>
      <c r="E195" s="1">
        <v>99999</v>
      </c>
      <c r="F195" s="1">
        <v>36</v>
      </c>
      <c r="G195" s="1">
        <v>3953</v>
      </c>
      <c r="H195" s="1" t="s">
        <v>630</v>
      </c>
      <c r="I195" s="1" t="s">
        <v>2948</v>
      </c>
      <c r="J195" s="1" t="s">
        <v>2597</v>
      </c>
      <c r="K195" s="126" t="s">
        <v>2949</v>
      </c>
      <c r="L195" s="1" t="s">
        <v>892</v>
      </c>
      <c r="M195" s="131">
        <v>283102</v>
      </c>
      <c r="N195" s="126" t="s">
        <v>894</v>
      </c>
      <c r="O195" s="131">
        <v>8318334908</v>
      </c>
      <c r="P195" s="1" t="s">
        <v>2950</v>
      </c>
      <c r="Q195" s="1" t="s">
        <v>2951</v>
      </c>
      <c r="R195" s="1" t="s">
        <v>2952</v>
      </c>
      <c r="S195" s="1">
        <v>3000</v>
      </c>
      <c r="T195" s="1">
        <v>79673</v>
      </c>
      <c r="U195" s="1">
        <v>82673</v>
      </c>
      <c r="V195" s="1" t="s">
        <v>742</v>
      </c>
      <c r="W195" s="129" t="s">
        <v>2953</v>
      </c>
      <c r="X195" t="s">
        <v>2954</v>
      </c>
      <c r="Y195" t="s">
        <v>644</v>
      </c>
      <c r="Z195" t="s">
        <v>645</v>
      </c>
    </row>
    <row r="196" spans="1:26" x14ac:dyDescent="0.3">
      <c r="A196" s="1" t="s">
        <v>2955</v>
      </c>
      <c r="B196" s="126" t="s">
        <v>93</v>
      </c>
      <c r="C196" s="54" t="s">
        <v>689</v>
      </c>
      <c r="D196" s="127" t="s">
        <v>2956</v>
      </c>
      <c r="E196" s="1">
        <v>46999</v>
      </c>
      <c r="F196" s="1">
        <v>28</v>
      </c>
      <c r="G196" s="1">
        <v>2315</v>
      </c>
      <c r="H196" s="1" t="s">
        <v>630</v>
      </c>
      <c r="I196" s="1" t="s">
        <v>2957</v>
      </c>
      <c r="J196" s="1" t="s">
        <v>2958</v>
      </c>
      <c r="K196" s="126" t="s">
        <v>2959</v>
      </c>
      <c r="L196" s="1" t="s">
        <v>1326</v>
      </c>
      <c r="M196" s="131">
        <v>303104</v>
      </c>
      <c r="N196" s="126" t="s">
        <v>894</v>
      </c>
      <c r="O196" s="131">
        <v>8854018511</v>
      </c>
      <c r="P196" s="1" t="s">
        <v>2960</v>
      </c>
      <c r="Q196" s="1" t="s">
        <v>2961</v>
      </c>
      <c r="R196" s="1" t="s">
        <v>2962</v>
      </c>
      <c r="S196" s="1">
        <v>3000</v>
      </c>
      <c r="T196" s="1">
        <v>20716</v>
      </c>
      <c r="U196" s="1">
        <v>23716</v>
      </c>
      <c r="V196" s="1" t="s">
        <v>817</v>
      </c>
      <c r="W196" s="129" t="s">
        <v>2963</v>
      </c>
      <c r="X196" t="s">
        <v>2964</v>
      </c>
      <c r="Y196" t="s">
        <v>644</v>
      </c>
      <c r="Z196" t="s">
        <v>645</v>
      </c>
    </row>
    <row r="197" spans="1:26" x14ac:dyDescent="0.3">
      <c r="A197" s="1" t="s">
        <v>2965</v>
      </c>
      <c r="B197" s="126" t="s">
        <v>887</v>
      </c>
      <c r="C197" s="54" t="s">
        <v>2757</v>
      </c>
      <c r="D197" s="127" t="s">
        <v>2966</v>
      </c>
      <c r="E197" s="1">
        <v>27000</v>
      </c>
      <c r="F197" s="1">
        <v>18</v>
      </c>
      <c r="G197" s="1">
        <v>1963</v>
      </c>
      <c r="H197" s="1" t="s">
        <v>630</v>
      </c>
      <c r="I197" s="1" t="s">
        <v>2967</v>
      </c>
      <c r="J197" s="1" t="s">
        <v>2968</v>
      </c>
      <c r="K197" s="126" t="s">
        <v>2969</v>
      </c>
      <c r="L197" s="1" t="s">
        <v>892</v>
      </c>
      <c r="M197" s="131">
        <v>282001</v>
      </c>
      <c r="N197" s="126" t="s">
        <v>894</v>
      </c>
      <c r="O197" s="131">
        <v>8445579853</v>
      </c>
      <c r="P197" s="1" t="s">
        <v>2970</v>
      </c>
      <c r="Q197" s="1" t="s">
        <v>2971</v>
      </c>
      <c r="R197" s="1" t="s">
        <v>2972</v>
      </c>
      <c r="S197" s="1">
        <v>3000</v>
      </c>
      <c r="T197" s="1">
        <v>5166</v>
      </c>
      <c r="U197" s="1">
        <v>8166</v>
      </c>
      <c r="V197" s="1" t="s">
        <v>2973</v>
      </c>
      <c r="W197" s="129" t="s">
        <v>2974</v>
      </c>
      <c r="X197" t="s">
        <v>2975</v>
      </c>
      <c r="Y197" t="s">
        <v>644</v>
      </c>
      <c r="Z197" t="s">
        <v>645</v>
      </c>
    </row>
    <row r="198" spans="1:26" x14ac:dyDescent="0.3">
      <c r="A198" s="1" t="s">
        <v>2976</v>
      </c>
      <c r="B198" s="126" t="s">
        <v>89</v>
      </c>
      <c r="C198" s="54" t="s">
        <v>689</v>
      </c>
      <c r="D198" s="127" t="s">
        <v>2977</v>
      </c>
      <c r="E198" s="1">
        <v>53900</v>
      </c>
      <c r="F198" s="1">
        <v>36</v>
      </c>
      <c r="G198" s="1">
        <v>2266</v>
      </c>
      <c r="H198" s="1" t="s">
        <v>630</v>
      </c>
      <c r="I198" s="1" t="s">
        <v>2978</v>
      </c>
      <c r="J198" s="1" t="s">
        <v>2979</v>
      </c>
      <c r="K198" s="126" t="s">
        <v>2980</v>
      </c>
      <c r="L198" s="1" t="s">
        <v>2899</v>
      </c>
      <c r="M198" s="131">
        <v>784506</v>
      </c>
      <c r="N198" s="126" t="s">
        <v>894</v>
      </c>
      <c r="O198" s="131">
        <v>9954964920</v>
      </c>
      <c r="P198" s="1" t="s">
        <v>682</v>
      </c>
      <c r="Q198" s="1" t="s">
        <v>2981</v>
      </c>
      <c r="R198" s="1" t="s">
        <v>2982</v>
      </c>
      <c r="S198" s="1">
        <v>3000</v>
      </c>
      <c r="T198" s="1">
        <v>133289</v>
      </c>
      <c r="U198" s="1">
        <v>136289</v>
      </c>
      <c r="V198" s="1" t="s">
        <v>883</v>
      </c>
      <c r="W198" s="129" t="s">
        <v>2983</v>
      </c>
      <c r="X198" t="s">
        <v>2984</v>
      </c>
      <c r="Y198" t="s">
        <v>644</v>
      </c>
      <c r="Z198" t="s">
        <v>645</v>
      </c>
    </row>
    <row r="199" spans="1:26" x14ac:dyDescent="0.3">
      <c r="A199" s="1" t="s">
        <v>2985</v>
      </c>
      <c r="B199" s="126" t="s">
        <v>93</v>
      </c>
      <c r="C199" s="54" t="s">
        <v>689</v>
      </c>
      <c r="D199" s="127" t="s">
        <v>2986</v>
      </c>
      <c r="E199" s="1">
        <v>42000</v>
      </c>
      <c r="F199" s="1">
        <v>41</v>
      </c>
      <c r="G199" s="1">
        <v>1788</v>
      </c>
      <c r="H199" s="1" t="s">
        <v>630</v>
      </c>
      <c r="I199" s="1" t="s">
        <v>2987</v>
      </c>
      <c r="J199" s="1" t="s">
        <v>2988</v>
      </c>
      <c r="K199" s="126" t="s">
        <v>2989</v>
      </c>
      <c r="L199" s="1" t="s">
        <v>1247</v>
      </c>
      <c r="M199" s="131">
        <v>335523</v>
      </c>
      <c r="N199" s="126" t="s">
        <v>894</v>
      </c>
      <c r="O199" s="131">
        <v>8875322062</v>
      </c>
      <c r="P199" s="1" t="s">
        <v>2990</v>
      </c>
      <c r="Q199" s="1" t="s">
        <v>2991</v>
      </c>
      <c r="R199" s="1" t="s">
        <v>2992</v>
      </c>
      <c r="S199" s="1">
        <v>3000</v>
      </c>
      <c r="T199" s="1">
        <v>23891</v>
      </c>
      <c r="U199" s="1">
        <v>26891</v>
      </c>
      <c r="V199" s="1" t="s">
        <v>805</v>
      </c>
      <c r="W199" s="129" t="s">
        <v>2993</v>
      </c>
      <c r="X199" t="s">
        <v>2994</v>
      </c>
      <c r="Y199" t="s">
        <v>644</v>
      </c>
      <c r="Z199" t="s">
        <v>645</v>
      </c>
    </row>
    <row r="200" spans="1:26" x14ac:dyDescent="0.3">
      <c r="A200" s="1" t="s">
        <v>2995</v>
      </c>
      <c r="B200" s="126" t="s">
        <v>89</v>
      </c>
      <c r="C200" s="54" t="s">
        <v>2483</v>
      </c>
      <c r="D200" s="127" t="s">
        <v>2996</v>
      </c>
      <c r="E200" s="1">
        <v>55900</v>
      </c>
      <c r="F200" s="1">
        <v>43</v>
      </c>
      <c r="G200" s="1">
        <v>2416</v>
      </c>
      <c r="H200" s="1" t="s">
        <v>630</v>
      </c>
      <c r="I200" s="1" t="s">
        <v>2997</v>
      </c>
      <c r="J200" s="1" t="s">
        <v>2998</v>
      </c>
      <c r="K200" s="126" t="s">
        <v>2999</v>
      </c>
      <c r="L200" s="1" t="s">
        <v>2899</v>
      </c>
      <c r="M200" s="131">
        <v>784182</v>
      </c>
      <c r="N200" s="126" t="s">
        <v>894</v>
      </c>
      <c r="O200" s="131">
        <v>9365390867</v>
      </c>
      <c r="P200" s="1" t="s">
        <v>3000</v>
      </c>
      <c r="Q200" s="1" t="s">
        <v>3001</v>
      </c>
      <c r="R200" s="1" t="s">
        <v>3002</v>
      </c>
      <c r="S200" s="1">
        <v>3000</v>
      </c>
      <c r="T200" s="1">
        <v>34696</v>
      </c>
      <c r="U200" s="1">
        <v>37696</v>
      </c>
      <c r="V200" s="1" t="s">
        <v>3003</v>
      </c>
      <c r="W200" s="129" t="s">
        <v>3004</v>
      </c>
      <c r="X200" t="s">
        <v>3005</v>
      </c>
      <c r="Y200" t="s">
        <v>644</v>
      </c>
      <c r="Z200" t="s">
        <v>645</v>
      </c>
    </row>
    <row r="201" spans="1:26" x14ac:dyDescent="0.3">
      <c r="A201" s="1" t="s">
        <v>3006</v>
      </c>
      <c r="B201" s="126" t="s">
        <v>1679</v>
      </c>
      <c r="C201" s="54" t="s">
        <v>2483</v>
      </c>
      <c r="D201" s="127" t="s">
        <v>3007</v>
      </c>
      <c r="E201" s="1">
        <v>47136</v>
      </c>
      <c r="F201" s="1">
        <v>29</v>
      </c>
      <c r="G201" s="1">
        <v>2385</v>
      </c>
      <c r="H201" s="1" t="s">
        <v>630</v>
      </c>
      <c r="I201" s="1" t="s">
        <v>3008</v>
      </c>
      <c r="J201" s="1" t="s">
        <v>3009</v>
      </c>
      <c r="K201" s="126" t="s">
        <v>3010</v>
      </c>
      <c r="L201" s="1" t="s">
        <v>3011</v>
      </c>
      <c r="M201" s="131">
        <v>121102</v>
      </c>
      <c r="N201" s="126" t="s">
        <v>894</v>
      </c>
      <c r="O201" s="131">
        <v>7015271131</v>
      </c>
      <c r="P201" s="1" t="s">
        <v>3012</v>
      </c>
      <c r="Q201" s="1" t="s">
        <v>3013</v>
      </c>
      <c r="R201" s="1" t="s">
        <v>3014</v>
      </c>
      <c r="S201" s="1">
        <v>3000</v>
      </c>
      <c r="T201" s="1">
        <v>23207</v>
      </c>
      <c r="U201" s="1">
        <v>26207</v>
      </c>
      <c r="V201" s="1" t="s">
        <v>817</v>
      </c>
      <c r="W201" s="129" t="s">
        <v>3015</v>
      </c>
      <c r="X201" t="s">
        <v>3016</v>
      </c>
      <c r="Y201" t="s">
        <v>644</v>
      </c>
      <c r="Z201" t="s">
        <v>645</v>
      </c>
    </row>
    <row r="202" spans="1:26" x14ac:dyDescent="0.3">
      <c r="A202" s="1" t="s">
        <v>3017</v>
      </c>
      <c r="B202" s="126" t="s">
        <v>887</v>
      </c>
      <c r="C202" s="54" t="s">
        <v>1335</v>
      </c>
      <c r="D202" s="127" t="s">
        <v>874</v>
      </c>
      <c r="E202" s="1">
        <v>55900</v>
      </c>
      <c r="F202" s="1">
        <v>48</v>
      </c>
      <c r="G202" s="1">
        <v>2347</v>
      </c>
      <c r="H202" s="1" t="s">
        <v>630</v>
      </c>
      <c r="I202" s="1" t="s">
        <v>3018</v>
      </c>
      <c r="J202" s="1" t="s">
        <v>3019</v>
      </c>
      <c r="K202" s="126" t="s">
        <v>3020</v>
      </c>
      <c r="L202" s="1" t="s">
        <v>3021</v>
      </c>
      <c r="M202" s="131">
        <v>247001</v>
      </c>
      <c r="N202" s="126" t="s">
        <v>894</v>
      </c>
      <c r="O202" s="131">
        <v>8650000110</v>
      </c>
      <c r="P202" s="1" t="s">
        <v>3022</v>
      </c>
      <c r="Q202" s="1" t="s">
        <v>3023</v>
      </c>
      <c r="R202" s="1" t="s">
        <v>3024</v>
      </c>
      <c r="S202" s="1">
        <v>3000</v>
      </c>
      <c r="T202" s="1">
        <v>53207</v>
      </c>
      <c r="U202" s="1">
        <v>56207</v>
      </c>
      <c r="V202" s="1" t="s">
        <v>883</v>
      </c>
      <c r="W202" s="129" t="s">
        <v>3025</v>
      </c>
      <c r="X202" t="s">
        <v>3026</v>
      </c>
      <c r="Y202" t="s">
        <v>644</v>
      </c>
      <c r="Z202" t="s">
        <v>645</v>
      </c>
    </row>
    <row r="203" spans="1:26" x14ac:dyDescent="0.3">
      <c r="A203" s="1" t="s">
        <v>3027</v>
      </c>
      <c r="B203" s="126" t="s">
        <v>953</v>
      </c>
      <c r="C203" s="54" t="s">
        <v>2483</v>
      </c>
      <c r="D203" s="127" t="s">
        <v>2471</v>
      </c>
      <c r="E203" s="1">
        <v>88120</v>
      </c>
      <c r="F203" s="1">
        <v>36</v>
      </c>
      <c r="G203" s="1">
        <v>3461</v>
      </c>
      <c r="H203" s="1" t="s">
        <v>630</v>
      </c>
      <c r="I203" s="1" t="s">
        <v>3028</v>
      </c>
      <c r="J203" s="1" t="s">
        <v>3029</v>
      </c>
      <c r="K203" s="126" t="s">
        <v>3030</v>
      </c>
      <c r="L203" s="1" t="s">
        <v>2462</v>
      </c>
      <c r="M203" s="131">
        <v>812005</v>
      </c>
      <c r="N203" s="126" t="s">
        <v>894</v>
      </c>
      <c r="O203" s="131">
        <v>9860284817</v>
      </c>
      <c r="P203" s="1" t="s">
        <v>3031</v>
      </c>
      <c r="Q203" s="1" t="s">
        <v>3032</v>
      </c>
      <c r="R203" s="1" t="s">
        <v>3033</v>
      </c>
      <c r="S203" s="1">
        <v>3000</v>
      </c>
      <c r="T203" s="1">
        <v>82888</v>
      </c>
      <c r="U203" s="1">
        <v>85888</v>
      </c>
      <c r="V203" s="1" t="s">
        <v>742</v>
      </c>
      <c r="W203" s="129" t="s">
        <v>3034</v>
      </c>
      <c r="X203" t="s">
        <v>3035</v>
      </c>
      <c r="Y203" t="s">
        <v>644</v>
      </c>
      <c r="Z203" t="s">
        <v>645</v>
      </c>
    </row>
    <row r="204" spans="1:26" x14ac:dyDescent="0.3">
      <c r="A204" s="1" t="s">
        <v>3036</v>
      </c>
      <c r="B204" s="126" t="s">
        <v>1094</v>
      </c>
      <c r="C204" s="54" t="s">
        <v>2483</v>
      </c>
      <c r="D204" s="127" t="s">
        <v>3037</v>
      </c>
      <c r="E204" s="1">
        <v>64399</v>
      </c>
      <c r="F204" s="1">
        <v>36</v>
      </c>
      <c r="G204" s="1">
        <v>2551</v>
      </c>
      <c r="H204" s="1" t="s">
        <v>630</v>
      </c>
      <c r="I204" s="1" t="s">
        <v>3038</v>
      </c>
      <c r="J204" s="1" t="s">
        <v>3039</v>
      </c>
      <c r="K204" s="126" t="s">
        <v>3040</v>
      </c>
      <c r="L204" s="1" t="s">
        <v>3041</v>
      </c>
      <c r="M204" s="131">
        <v>461331</v>
      </c>
      <c r="N204" s="126" t="s">
        <v>894</v>
      </c>
      <c r="O204" s="131">
        <v>9165326392</v>
      </c>
      <c r="P204" s="1" t="s">
        <v>682</v>
      </c>
      <c r="Q204" s="1" t="s">
        <v>3042</v>
      </c>
      <c r="R204" s="1" t="s">
        <v>3043</v>
      </c>
      <c r="S204" s="1">
        <v>3000</v>
      </c>
      <c r="T204" s="1">
        <v>90665</v>
      </c>
      <c r="U204" s="1">
        <v>93665</v>
      </c>
      <c r="V204" s="1" t="s">
        <v>1345</v>
      </c>
      <c r="W204" s="129" t="s">
        <v>3044</v>
      </c>
      <c r="X204" t="s">
        <v>3045</v>
      </c>
      <c r="Y204" t="s">
        <v>644</v>
      </c>
      <c r="Z204" t="s">
        <v>645</v>
      </c>
    </row>
    <row r="205" spans="1:26" x14ac:dyDescent="0.3">
      <c r="A205" s="1" t="s">
        <v>3046</v>
      </c>
      <c r="B205" s="126" t="s">
        <v>887</v>
      </c>
      <c r="C205" s="54" t="s">
        <v>2544</v>
      </c>
      <c r="D205" s="127" t="s">
        <v>1243</v>
      </c>
      <c r="E205" s="1">
        <v>40899</v>
      </c>
      <c r="F205" s="1">
        <v>24</v>
      </c>
      <c r="G205" s="1">
        <v>2093</v>
      </c>
      <c r="H205" s="1" t="s">
        <v>630</v>
      </c>
      <c r="I205" s="1" t="s">
        <v>3047</v>
      </c>
      <c r="J205" s="1" t="s">
        <v>3048</v>
      </c>
      <c r="K205" s="126" t="s">
        <v>3049</v>
      </c>
      <c r="L205" s="1" t="s">
        <v>892</v>
      </c>
      <c r="M205" s="131">
        <v>283119</v>
      </c>
      <c r="N205" s="126" t="s">
        <v>894</v>
      </c>
      <c r="O205" s="131">
        <v>9897890471</v>
      </c>
      <c r="P205" s="1" t="s">
        <v>3050</v>
      </c>
      <c r="Q205" s="1" t="s">
        <v>3051</v>
      </c>
      <c r="R205" s="1" t="s">
        <v>3052</v>
      </c>
      <c r="S205" s="1">
        <v>3000</v>
      </c>
      <c r="T205" s="1">
        <v>4999</v>
      </c>
      <c r="U205" s="1">
        <v>7999</v>
      </c>
      <c r="V205" s="1" t="s">
        <v>805</v>
      </c>
      <c r="W205" s="129" t="s">
        <v>3053</v>
      </c>
      <c r="X205" t="s">
        <v>3054</v>
      </c>
      <c r="Y205" t="s">
        <v>644</v>
      </c>
      <c r="Z205" t="s">
        <v>645</v>
      </c>
    </row>
    <row r="206" spans="1:26" x14ac:dyDescent="0.3">
      <c r="A206" s="1" t="s">
        <v>3055</v>
      </c>
      <c r="B206" s="126" t="s">
        <v>887</v>
      </c>
      <c r="C206" s="1" t="s">
        <v>682</v>
      </c>
      <c r="D206" s="127" t="s">
        <v>3056</v>
      </c>
      <c r="E206" s="1">
        <v>53400</v>
      </c>
      <c r="F206" s="1">
        <v>29</v>
      </c>
      <c r="G206" s="1">
        <v>2751</v>
      </c>
      <c r="H206" s="1" t="s">
        <v>630</v>
      </c>
      <c r="I206" s="1" t="s">
        <v>3057</v>
      </c>
      <c r="J206" s="1" t="s">
        <v>3058</v>
      </c>
      <c r="K206" s="126" t="s">
        <v>3059</v>
      </c>
      <c r="L206" s="1" t="s">
        <v>892</v>
      </c>
      <c r="M206" s="131">
        <v>283119</v>
      </c>
      <c r="N206" s="126" t="s">
        <v>894</v>
      </c>
      <c r="O206" s="131">
        <v>7453868500</v>
      </c>
      <c r="P206" s="1" t="s">
        <v>3060</v>
      </c>
      <c r="Q206" s="1" t="s">
        <v>3061</v>
      </c>
      <c r="R206" s="1" t="s">
        <v>3062</v>
      </c>
      <c r="S206" s="1">
        <v>3000</v>
      </c>
      <c r="T206" s="1">
        <v>58542</v>
      </c>
      <c r="U206" s="1">
        <v>61542</v>
      </c>
      <c r="V206" s="1" t="s">
        <v>1105</v>
      </c>
      <c r="W206" s="129" t="s">
        <v>3063</v>
      </c>
      <c r="X206" t="s">
        <v>3064</v>
      </c>
      <c r="Y206" t="s">
        <v>644</v>
      </c>
      <c r="Z206" t="s">
        <v>645</v>
      </c>
    </row>
    <row r="207" spans="1:26" x14ac:dyDescent="0.3">
      <c r="A207" s="1" t="s">
        <v>3065</v>
      </c>
      <c r="B207" s="126" t="s">
        <v>887</v>
      </c>
      <c r="C207" s="54" t="s">
        <v>2757</v>
      </c>
      <c r="D207" s="127" t="s">
        <v>3066</v>
      </c>
      <c r="E207" s="1">
        <v>36000</v>
      </c>
      <c r="F207" s="1">
        <v>20</v>
      </c>
      <c r="G207" s="1">
        <v>2385</v>
      </c>
      <c r="H207" s="1" t="s">
        <v>630</v>
      </c>
      <c r="I207" s="1" t="s">
        <v>3067</v>
      </c>
      <c r="J207" s="1" t="s">
        <v>3068</v>
      </c>
      <c r="K207" s="126" t="s">
        <v>3069</v>
      </c>
      <c r="L207" s="1" t="s">
        <v>2400</v>
      </c>
      <c r="M207" s="131">
        <v>281122</v>
      </c>
      <c r="N207" s="126" t="s">
        <v>894</v>
      </c>
      <c r="O207" s="131">
        <v>8650753293</v>
      </c>
      <c r="P207" s="1" t="s">
        <v>3070</v>
      </c>
      <c r="Q207" s="1" t="s">
        <v>3071</v>
      </c>
      <c r="R207" s="1" t="s">
        <v>3072</v>
      </c>
      <c r="S207" s="1">
        <v>3000</v>
      </c>
      <c r="T207" s="1">
        <v>17044</v>
      </c>
      <c r="U207" s="1">
        <v>20044</v>
      </c>
      <c r="V207" s="1" t="s">
        <v>817</v>
      </c>
      <c r="W207" s="129" t="s">
        <v>3073</v>
      </c>
      <c r="X207" t="s">
        <v>3074</v>
      </c>
      <c r="Y207" t="s">
        <v>644</v>
      </c>
      <c r="Z207" t="s">
        <v>645</v>
      </c>
    </row>
    <row r="208" spans="1:26" x14ac:dyDescent="0.3">
      <c r="A208" s="1" t="s">
        <v>3075</v>
      </c>
      <c r="B208" s="126" t="s">
        <v>887</v>
      </c>
      <c r="C208" s="54" t="s">
        <v>2483</v>
      </c>
      <c r="D208" s="127" t="s">
        <v>3076</v>
      </c>
      <c r="E208" s="1">
        <v>41436</v>
      </c>
      <c r="F208" s="1">
        <v>29</v>
      </c>
      <c r="G208" s="1">
        <v>2169</v>
      </c>
      <c r="H208" s="1" t="s">
        <v>630</v>
      </c>
      <c r="I208" s="1" t="s">
        <v>3077</v>
      </c>
      <c r="J208" s="1" t="s">
        <v>3078</v>
      </c>
      <c r="K208" s="126" t="s">
        <v>3079</v>
      </c>
      <c r="L208" s="1" t="s">
        <v>892</v>
      </c>
      <c r="M208" s="131">
        <v>283105</v>
      </c>
      <c r="N208" s="126" t="s">
        <v>894</v>
      </c>
      <c r="O208" s="131">
        <v>7599388622</v>
      </c>
      <c r="P208" s="1" t="s">
        <v>3080</v>
      </c>
      <c r="Q208" s="1" t="s">
        <v>3081</v>
      </c>
      <c r="R208" s="1" t="s">
        <v>3082</v>
      </c>
      <c r="S208" s="1">
        <v>3000</v>
      </c>
      <c r="T208" s="1">
        <v>38559</v>
      </c>
      <c r="U208" s="1">
        <v>41559</v>
      </c>
      <c r="V208" s="1" t="s">
        <v>817</v>
      </c>
      <c r="W208" s="129" t="s">
        <v>3083</v>
      </c>
      <c r="X208" t="s">
        <v>3084</v>
      </c>
      <c r="Y208" t="s">
        <v>644</v>
      </c>
      <c r="Z208" t="s">
        <v>645</v>
      </c>
    </row>
    <row r="209" spans="1:26" x14ac:dyDescent="0.3">
      <c r="A209" s="1" t="s">
        <v>3085</v>
      </c>
      <c r="B209" s="126" t="s">
        <v>887</v>
      </c>
      <c r="C209" s="54" t="s">
        <v>2254</v>
      </c>
      <c r="D209" s="127" t="s">
        <v>3086</v>
      </c>
      <c r="E209" s="1">
        <v>44500</v>
      </c>
      <c r="F209" s="1">
        <v>24</v>
      </c>
      <c r="G209" s="1">
        <v>2290</v>
      </c>
      <c r="H209" s="1" t="s">
        <v>630</v>
      </c>
      <c r="I209" s="1" t="s">
        <v>3087</v>
      </c>
      <c r="J209" s="1" t="s">
        <v>3088</v>
      </c>
      <c r="K209" s="126" t="s">
        <v>3089</v>
      </c>
      <c r="L209" s="1" t="s">
        <v>892</v>
      </c>
      <c r="M209" s="131">
        <v>283121</v>
      </c>
      <c r="N209" s="126" t="s">
        <v>894</v>
      </c>
      <c r="O209" s="131">
        <v>7500368020</v>
      </c>
      <c r="P209" s="1" t="s">
        <v>3090</v>
      </c>
      <c r="Q209" s="1" t="s">
        <v>3091</v>
      </c>
      <c r="R209" s="1" t="s">
        <v>3092</v>
      </c>
      <c r="S209" s="1">
        <v>3000</v>
      </c>
      <c r="T209" s="1">
        <v>43782</v>
      </c>
      <c r="U209" s="1">
        <v>46782</v>
      </c>
      <c r="V209" s="1" t="s">
        <v>1019</v>
      </c>
      <c r="W209" s="129" t="s">
        <v>3093</v>
      </c>
      <c r="X209" t="s">
        <v>3094</v>
      </c>
      <c r="Y209" t="s">
        <v>644</v>
      </c>
      <c r="Z209" t="s">
        <v>645</v>
      </c>
    </row>
    <row r="210" spans="1:26" x14ac:dyDescent="0.3">
      <c r="A210" s="1" t="s">
        <v>3095</v>
      </c>
      <c r="B210" s="126" t="s">
        <v>887</v>
      </c>
      <c r="C210" s="54" t="s">
        <v>1335</v>
      </c>
      <c r="D210" s="127" t="s">
        <v>2316</v>
      </c>
      <c r="E210" s="1">
        <v>42650</v>
      </c>
      <c r="F210" s="1">
        <v>36</v>
      </c>
      <c r="G210" s="1">
        <v>2298</v>
      </c>
      <c r="H210" s="1" t="s">
        <v>630</v>
      </c>
      <c r="I210" s="1" t="s">
        <v>3096</v>
      </c>
      <c r="J210" s="1" t="s">
        <v>3097</v>
      </c>
      <c r="K210" s="126" t="s">
        <v>3098</v>
      </c>
      <c r="L210" s="1" t="s">
        <v>1390</v>
      </c>
      <c r="M210" s="131">
        <v>250002</v>
      </c>
      <c r="N210" s="126" t="s">
        <v>894</v>
      </c>
      <c r="O210" s="131">
        <v>9027462654</v>
      </c>
      <c r="P210" s="1" t="s">
        <v>682</v>
      </c>
      <c r="Q210" s="1" t="s">
        <v>3099</v>
      </c>
      <c r="R210" s="1" t="s">
        <v>3100</v>
      </c>
      <c r="S210" s="1">
        <v>3000</v>
      </c>
      <c r="T210" s="1">
        <v>47154</v>
      </c>
      <c r="U210" s="1">
        <v>50154</v>
      </c>
      <c r="V210" s="1" t="s">
        <v>685</v>
      </c>
      <c r="W210" s="129" t="s">
        <v>3101</v>
      </c>
      <c r="X210" t="s">
        <v>3102</v>
      </c>
      <c r="Y210" t="s">
        <v>644</v>
      </c>
      <c r="Z210" t="s">
        <v>645</v>
      </c>
    </row>
    <row r="211" spans="1:26" x14ac:dyDescent="0.3">
      <c r="A211" s="1" t="s">
        <v>3103</v>
      </c>
      <c r="B211" s="126" t="s">
        <v>887</v>
      </c>
      <c r="C211" s="54" t="s">
        <v>1335</v>
      </c>
      <c r="D211" s="127" t="s">
        <v>3104</v>
      </c>
      <c r="E211" s="1">
        <v>52900</v>
      </c>
      <c r="F211" s="1">
        <v>29</v>
      </c>
      <c r="G211" s="1">
        <v>2862</v>
      </c>
      <c r="H211" s="1" t="s">
        <v>630</v>
      </c>
      <c r="I211" s="1" t="s">
        <v>3105</v>
      </c>
      <c r="J211" s="1" t="s">
        <v>3106</v>
      </c>
      <c r="K211" s="126" t="s">
        <v>3107</v>
      </c>
      <c r="L211" s="1" t="s">
        <v>1161</v>
      </c>
      <c r="M211" s="131">
        <v>246732</v>
      </c>
      <c r="N211" s="126" t="s">
        <v>894</v>
      </c>
      <c r="O211" s="131">
        <v>8057363603</v>
      </c>
      <c r="P211" s="1" t="s">
        <v>3108</v>
      </c>
      <c r="Q211" s="1" t="s">
        <v>3109</v>
      </c>
      <c r="R211" s="1" t="s">
        <v>3110</v>
      </c>
      <c r="S211" s="1">
        <v>3000</v>
      </c>
      <c r="T211" s="1">
        <v>71258</v>
      </c>
      <c r="U211" s="1">
        <v>74258</v>
      </c>
      <c r="V211" s="1" t="s">
        <v>1019</v>
      </c>
      <c r="W211" s="129" t="s">
        <v>3111</v>
      </c>
      <c r="X211" t="s">
        <v>3112</v>
      </c>
      <c r="Y211" t="s">
        <v>644</v>
      </c>
      <c r="Z211" t="s">
        <v>645</v>
      </c>
    </row>
    <row r="212" spans="1:26" x14ac:dyDescent="0.3">
      <c r="A212" s="1" t="s">
        <v>3113</v>
      </c>
      <c r="B212" s="126" t="s">
        <v>887</v>
      </c>
      <c r="C212" s="54" t="s">
        <v>2857</v>
      </c>
      <c r="D212" s="127" t="s">
        <v>3114</v>
      </c>
      <c r="E212" s="1">
        <v>36900</v>
      </c>
      <c r="F212" s="1">
        <v>20</v>
      </c>
      <c r="G212" s="1">
        <v>2319</v>
      </c>
      <c r="H212" s="1" t="s">
        <v>630</v>
      </c>
      <c r="I212" s="1" t="s">
        <v>3115</v>
      </c>
      <c r="J212" s="1" t="s">
        <v>2879</v>
      </c>
      <c r="K212" s="126" t="s">
        <v>3116</v>
      </c>
      <c r="L212" s="1" t="s">
        <v>892</v>
      </c>
      <c r="M212" s="131">
        <v>283102</v>
      </c>
      <c r="N212" s="126" t="s">
        <v>894</v>
      </c>
      <c r="O212" s="131">
        <v>8057152802</v>
      </c>
      <c r="P212" s="1" t="s">
        <v>3117</v>
      </c>
      <c r="Q212" s="1" t="s">
        <v>3118</v>
      </c>
      <c r="R212" s="1" t="s">
        <v>3119</v>
      </c>
      <c r="S212" s="1">
        <v>3000</v>
      </c>
      <c r="T212" s="1">
        <v>23633</v>
      </c>
      <c r="U212" s="1">
        <v>26633</v>
      </c>
      <c r="V212" s="1" t="s">
        <v>817</v>
      </c>
      <c r="W212" s="129" t="s">
        <v>3120</v>
      </c>
      <c r="X212" t="s">
        <v>3121</v>
      </c>
      <c r="Y212" t="s">
        <v>644</v>
      </c>
      <c r="Z212" t="s">
        <v>645</v>
      </c>
    </row>
    <row r="213" spans="1:26" x14ac:dyDescent="0.3">
      <c r="A213" s="1" t="s">
        <v>3122</v>
      </c>
      <c r="B213" s="126" t="s">
        <v>1094</v>
      </c>
      <c r="C213" s="54" t="s">
        <v>1335</v>
      </c>
      <c r="D213" s="127" t="s">
        <v>3123</v>
      </c>
      <c r="E213" s="1">
        <v>185000</v>
      </c>
      <c r="F213" s="1">
        <v>36</v>
      </c>
      <c r="G213" s="1">
        <v>7298</v>
      </c>
      <c r="H213" s="1" t="s">
        <v>630</v>
      </c>
      <c r="I213" s="1" t="s">
        <v>3124</v>
      </c>
      <c r="J213" s="1" t="s">
        <v>3125</v>
      </c>
      <c r="K213" s="126" t="s">
        <v>3126</v>
      </c>
      <c r="L213" s="1" t="s">
        <v>3127</v>
      </c>
      <c r="M213" s="131">
        <v>473335</v>
      </c>
      <c r="N213" s="126" t="s">
        <v>894</v>
      </c>
      <c r="O213" s="131">
        <v>9301524272</v>
      </c>
      <c r="P213" s="1" t="s">
        <v>682</v>
      </c>
      <c r="Q213" s="1" t="s">
        <v>3128</v>
      </c>
      <c r="R213" s="1" t="s">
        <v>3129</v>
      </c>
      <c r="S213" s="1">
        <v>3000</v>
      </c>
      <c r="T213" s="1">
        <v>251602</v>
      </c>
      <c r="U213" s="1">
        <v>254602</v>
      </c>
      <c r="V213" s="1" t="s">
        <v>1675</v>
      </c>
      <c r="W213" s="129" t="s">
        <v>3130</v>
      </c>
      <c r="X213" t="s">
        <v>3131</v>
      </c>
      <c r="Y213" t="s">
        <v>644</v>
      </c>
      <c r="Z213" t="s">
        <v>645</v>
      </c>
    </row>
    <row r="214" spans="1:26" x14ac:dyDescent="0.3">
      <c r="A214" s="1" t="s">
        <v>3132</v>
      </c>
      <c r="B214" s="126" t="s">
        <v>887</v>
      </c>
      <c r="C214" s="54" t="s">
        <v>2565</v>
      </c>
      <c r="D214" s="127" t="s">
        <v>3133</v>
      </c>
      <c r="E214" s="1">
        <v>49899</v>
      </c>
      <c r="F214" s="1">
        <v>24</v>
      </c>
      <c r="G214" s="1">
        <v>2639</v>
      </c>
      <c r="H214" s="1" t="s">
        <v>630</v>
      </c>
      <c r="I214" s="1" t="s">
        <v>3134</v>
      </c>
      <c r="J214" s="1" t="s">
        <v>3135</v>
      </c>
      <c r="K214" s="126" t="s">
        <v>3136</v>
      </c>
      <c r="L214" s="1" t="s">
        <v>2400</v>
      </c>
      <c r="M214" s="131">
        <v>281403</v>
      </c>
      <c r="N214" s="126" t="s">
        <v>894</v>
      </c>
      <c r="O214" s="131">
        <v>9536167891</v>
      </c>
      <c r="P214" s="1" t="s">
        <v>682</v>
      </c>
      <c r="Q214" s="1" t="s">
        <v>3137</v>
      </c>
      <c r="R214" s="1" t="s">
        <v>3138</v>
      </c>
      <c r="S214" s="1">
        <v>3000</v>
      </c>
      <c r="T214" s="1">
        <v>62177</v>
      </c>
      <c r="U214" s="1">
        <v>65177</v>
      </c>
      <c r="V214" s="1" t="s">
        <v>1078</v>
      </c>
      <c r="W214" s="129" t="s">
        <v>3139</v>
      </c>
      <c r="X214" t="s">
        <v>3140</v>
      </c>
      <c r="Y214" t="s">
        <v>644</v>
      </c>
      <c r="Z214" t="s">
        <v>645</v>
      </c>
    </row>
    <row r="215" spans="1:26" x14ac:dyDescent="0.3">
      <c r="A215" s="1" t="s">
        <v>3141</v>
      </c>
      <c r="B215" s="126" t="s">
        <v>93</v>
      </c>
      <c r="C215" s="54" t="s">
        <v>689</v>
      </c>
      <c r="D215" s="127" t="s">
        <v>3142</v>
      </c>
      <c r="E215" s="1">
        <v>66000</v>
      </c>
      <c r="F215" s="1">
        <v>11</v>
      </c>
      <c r="G215" s="1">
        <v>6220</v>
      </c>
      <c r="H215" s="1" t="s">
        <v>630</v>
      </c>
      <c r="I215" s="1" t="s">
        <v>3143</v>
      </c>
      <c r="J215" s="1" t="s">
        <v>3144</v>
      </c>
      <c r="K215" s="126" t="s">
        <v>3145</v>
      </c>
      <c r="L215" s="1" t="s">
        <v>3146</v>
      </c>
      <c r="M215" s="131">
        <v>322241</v>
      </c>
      <c r="N215" s="126" t="s">
        <v>894</v>
      </c>
      <c r="O215" s="131">
        <v>7014500910</v>
      </c>
      <c r="P215" s="1" t="s">
        <v>3147</v>
      </c>
      <c r="Q215" s="1" t="s">
        <v>3148</v>
      </c>
      <c r="R215" s="1" t="s">
        <v>3149</v>
      </c>
      <c r="S215" s="1">
        <v>3000</v>
      </c>
      <c r="T215" s="1">
        <v>37038</v>
      </c>
      <c r="U215" s="1">
        <v>40038</v>
      </c>
      <c r="V215" s="1" t="s">
        <v>1702</v>
      </c>
      <c r="W215" s="129" t="s">
        <v>3150</v>
      </c>
      <c r="X215" t="s">
        <v>3151</v>
      </c>
      <c r="Y215" t="s">
        <v>644</v>
      </c>
      <c r="Z215" t="s">
        <v>645</v>
      </c>
    </row>
    <row r="216" spans="1:26" x14ac:dyDescent="0.3">
      <c r="A216" s="1" t="s">
        <v>3152</v>
      </c>
      <c r="B216" s="126" t="s">
        <v>887</v>
      </c>
      <c r="C216" s="54" t="s">
        <v>2483</v>
      </c>
      <c r="D216" s="127" t="s">
        <v>3153</v>
      </c>
      <c r="E216" s="1">
        <v>62000</v>
      </c>
      <c r="F216" s="1">
        <v>30</v>
      </c>
      <c r="G216" s="1">
        <v>3011</v>
      </c>
      <c r="H216" s="1" t="s">
        <v>630</v>
      </c>
      <c r="I216" s="1" t="s">
        <v>3154</v>
      </c>
      <c r="J216" s="1" t="s">
        <v>3155</v>
      </c>
      <c r="K216" s="126" t="s">
        <v>3156</v>
      </c>
      <c r="L216" s="1" t="s">
        <v>2400</v>
      </c>
      <c r="M216" s="131">
        <v>281001</v>
      </c>
      <c r="N216" s="126" t="s">
        <v>894</v>
      </c>
      <c r="O216" s="131">
        <v>8077214159</v>
      </c>
      <c r="P216" s="1" t="s">
        <v>3157</v>
      </c>
      <c r="Q216" s="1" t="s">
        <v>3158</v>
      </c>
      <c r="R216" s="1" t="s">
        <v>3159</v>
      </c>
      <c r="S216" s="1">
        <v>3000</v>
      </c>
      <c r="T216" s="1">
        <v>46690</v>
      </c>
      <c r="U216" s="1">
        <v>49690</v>
      </c>
      <c r="V216" s="1" t="s">
        <v>780</v>
      </c>
      <c r="W216" s="129" t="s">
        <v>3160</v>
      </c>
      <c r="X216" t="s">
        <v>3161</v>
      </c>
      <c r="Y216" t="s">
        <v>644</v>
      </c>
      <c r="Z216" t="s">
        <v>645</v>
      </c>
    </row>
    <row r="217" spans="1:26" x14ac:dyDescent="0.3">
      <c r="A217" s="1" t="s">
        <v>3162</v>
      </c>
      <c r="B217" s="126" t="s">
        <v>1679</v>
      </c>
      <c r="C217" s="54" t="s">
        <v>1335</v>
      </c>
      <c r="D217" s="127" t="s">
        <v>3163</v>
      </c>
      <c r="E217" s="1">
        <v>55000</v>
      </c>
      <c r="F217" s="1">
        <v>24</v>
      </c>
      <c r="G217" s="1">
        <v>2796</v>
      </c>
      <c r="H217" s="1" t="s">
        <v>630</v>
      </c>
      <c r="I217" s="1" t="s">
        <v>3164</v>
      </c>
      <c r="J217" s="1" t="s">
        <v>3165</v>
      </c>
      <c r="K217" s="126" t="s">
        <v>3166</v>
      </c>
      <c r="L217" s="1" t="s">
        <v>3167</v>
      </c>
      <c r="M217" s="131">
        <v>110093</v>
      </c>
      <c r="N217" s="126" t="s">
        <v>894</v>
      </c>
      <c r="O217" s="131">
        <v>9643665125</v>
      </c>
      <c r="P217" s="1" t="s">
        <v>3168</v>
      </c>
      <c r="Q217" s="1" t="s">
        <v>3169</v>
      </c>
      <c r="R217" s="1" t="s">
        <v>3170</v>
      </c>
      <c r="S217" s="1">
        <v>3000</v>
      </c>
      <c r="T217" s="1">
        <v>138544</v>
      </c>
      <c r="U217" s="1">
        <v>141544</v>
      </c>
      <c r="V217" s="1" t="s">
        <v>698</v>
      </c>
      <c r="W217" s="129" t="s">
        <v>3171</v>
      </c>
      <c r="X217" t="s">
        <v>3172</v>
      </c>
      <c r="Y217" t="s">
        <v>644</v>
      </c>
      <c r="Z217" t="s">
        <v>645</v>
      </c>
    </row>
    <row r="218" spans="1:26" x14ac:dyDescent="0.3">
      <c r="A218" s="1" t="s">
        <v>3173</v>
      </c>
      <c r="B218" s="126" t="s">
        <v>887</v>
      </c>
      <c r="C218" s="54" t="s">
        <v>1335</v>
      </c>
      <c r="D218" s="127" t="s">
        <v>1817</v>
      </c>
      <c r="E218" s="1">
        <v>89663</v>
      </c>
      <c r="F218" s="1">
        <v>43</v>
      </c>
      <c r="G218" s="1">
        <v>3500</v>
      </c>
      <c r="H218" s="1" t="s">
        <v>630</v>
      </c>
      <c r="I218" s="1" t="s">
        <v>3174</v>
      </c>
      <c r="J218" s="1" t="s">
        <v>3175</v>
      </c>
      <c r="K218" s="126" t="s">
        <v>3176</v>
      </c>
      <c r="L218" s="1" t="s">
        <v>944</v>
      </c>
      <c r="M218" s="131">
        <v>247776</v>
      </c>
      <c r="N218" s="126" t="s">
        <v>894</v>
      </c>
      <c r="O218" s="131">
        <v>7048939839</v>
      </c>
      <c r="P218" s="1" t="s">
        <v>3177</v>
      </c>
      <c r="Q218" s="1" t="s">
        <v>3178</v>
      </c>
      <c r="R218" s="1" t="s">
        <v>3179</v>
      </c>
      <c r="S218" s="1">
        <v>3000</v>
      </c>
      <c r="T218" s="1">
        <v>141420</v>
      </c>
      <c r="U218" s="1">
        <v>144420</v>
      </c>
      <c r="V218" s="1" t="s">
        <v>728</v>
      </c>
      <c r="W218" s="129" t="s">
        <v>3180</v>
      </c>
      <c r="X218" t="s">
        <v>3181</v>
      </c>
      <c r="Y218" t="s">
        <v>644</v>
      </c>
      <c r="Z218" t="s">
        <v>645</v>
      </c>
    </row>
    <row r="219" spans="1:26" x14ac:dyDescent="0.3">
      <c r="A219" s="1" t="s">
        <v>3182</v>
      </c>
      <c r="B219" s="126" t="s">
        <v>887</v>
      </c>
      <c r="C219" s="54" t="s">
        <v>1335</v>
      </c>
      <c r="D219" s="127" t="s">
        <v>3183</v>
      </c>
      <c r="E219" s="1">
        <v>51200</v>
      </c>
      <c r="F219" s="1">
        <v>24</v>
      </c>
      <c r="G219" s="1">
        <v>2748</v>
      </c>
      <c r="H219" s="1" t="s">
        <v>630</v>
      </c>
      <c r="I219" s="1" t="s">
        <v>3184</v>
      </c>
      <c r="J219" s="1" t="s">
        <v>3185</v>
      </c>
      <c r="K219" s="126" t="s">
        <v>3186</v>
      </c>
      <c r="L219" s="1" t="s">
        <v>1000</v>
      </c>
      <c r="M219" s="131">
        <v>203393</v>
      </c>
      <c r="N219" s="126" t="s">
        <v>894</v>
      </c>
      <c r="O219" s="131">
        <v>9720704217</v>
      </c>
      <c r="P219" s="1" t="s">
        <v>3187</v>
      </c>
      <c r="Q219" s="1" t="s">
        <v>3188</v>
      </c>
      <c r="R219" s="1" t="s">
        <v>3189</v>
      </c>
      <c r="S219" s="1">
        <v>3000</v>
      </c>
      <c r="T219" s="1">
        <v>76481</v>
      </c>
      <c r="U219" s="1">
        <v>79481</v>
      </c>
      <c r="V219" s="1" t="s">
        <v>817</v>
      </c>
      <c r="W219" s="129" t="s">
        <v>3190</v>
      </c>
      <c r="X219" t="s">
        <v>3191</v>
      </c>
      <c r="Y219" t="s">
        <v>644</v>
      </c>
      <c r="Z219" t="s">
        <v>645</v>
      </c>
    </row>
    <row r="220" spans="1:26" x14ac:dyDescent="0.3">
      <c r="A220" s="1" t="s">
        <v>3192</v>
      </c>
      <c r="B220" s="126" t="s">
        <v>887</v>
      </c>
      <c r="C220" s="54" t="s">
        <v>1335</v>
      </c>
      <c r="D220" s="127" t="s">
        <v>3193</v>
      </c>
      <c r="E220" s="1">
        <v>65139</v>
      </c>
      <c r="F220" s="1">
        <v>24</v>
      </c>
      <c r="G220" s="1">
        <v>3442</v>
      </c>
      <c r="H220" s="1" t="s">
        <v>630</v>
      </c>
      <c r="I220" s="1" t="s">
        <v>3194</v>
      </c>
      <c r="J220" s="1" t="s">
        <v>3195</v>
      </c>
      <c r="K220" s="126" t="s">
        <v>3196</v>
      </c>
      <c r="L220" s="1" t="s">
        <v>3197</v>
      </c>
      <c r="M220" s="131">
        <v>228171</v>
      </c>
      <c r="N220" s="126" t="s">
        <v>894</v>
      </c>
      <c r="O220" s="131">
        <v>8604874031</v>
      </c>
      <c r="P220" s="1" t="s">
        <v>3198</v>
      </c>
      <c r="Q220" s="1" t="s">
        <v>3199</v>
      </c>
      <c r="R220" s="1" t="s">
        <v>3200</v>
      </c>
      <c r="S220" s="1">
        <v>3000</v>
      </c>
      <c r="T220" s="1">
        <v>76180</v>
      </c>
      <c r="U220" s="1">
        <v>79180</v>
      </c>
      <c r="V220" s="1" t="s">
        <v>768</v>
      </c>
      <c r="W220" s="129" t="s">
        <v>3201</v>
      </c>
      <c r="X220" t="s">
        <v>3202</v>
      </c>
      <c r="Y220" t="s">
        <v>644</v>
      </c>
      <c r="Z220" t="s">
        <v>645</v>
      </c>
    </row>
    <row r="221" spans="1:26" x14ac:dyDescent="0.3">
      <c r="A221" s="1" t="s">
        <v>3203</v>
      </c>
      <c r="B221" s="126" t="s">
        <v>1094</v>
      </c>
      <c r="C221" s="54" t="s">
        <v>2544</v>
      </c>
      <c r="D221" s="127" t="s">
        <v>3204</v>
      </c>
      <c r="E221" s="1">
        <v>46850</v>
      </c>
      <c r="F221" s="1">
        <v>35</v>
      </c>
      <c r="G221" s="1">
        <v>2148</v>
      </c>
      <c r="H221" s="1" t="s">
        <v>630</v>
      </c>
      <c r="I221" s="1" t="s">
        <v>3205</v>
      </c>
      <c r="J221" s="1" t="s">
        <v>3206</v>
      </c>
      <c r="K221" s="126" t="s">
        <v>3207</v>
      </c>
      <c r="L221" s="1" t="s">
        <v>3208</v>
      </c>
      <c r="M221" s="131">
        <v>458880</v>
      </c>
      <c r="N221" s="126" t="s">
        <v>894</v>
      </c>
      <c r="O221" s="131">
        <v>9171818372</v>
      </c>
      <c r="P221" s="1" t="s">
        <v>682</v>
      </c>
      <c r="Q221" s="1" t="s">
        <v>3209</v>
      </c>
      <c r="R221" s="1" t="s">
        <v>3210</v>
      </c>
      <c r="S221" s="1">
        <v>3000</v>
      </c>
      <c r="T221" s="1">
        <v>42144</v>
      </c>
      <c r="U221" s="1">
        <v>45144</v>
      </c>
      <c r="V221" s="1" t="s">
        <v>1005</v>
      </c>
      <c r="W221" s="129" t="s">
        <v>3211</v>
      </c>
      <c r="X221" t="s">
        <v>3212</v>
      </c>
      <c r="Y221" t="s">
        <v>644</v>
      </c>
      <c r="Z221" t="s">
        <v>645</v>
      </c>
    </row>
    <row r="222" spans="1:26" x14ac:dyDescent="0.3">
      <c r="A222" s="1" t="s">
        <v>3213</v>
      </c>
      <c r="B222" s="126" t="s">
        <v>887</v>
      </c>
      <c r="C222" s="54" t="s">
        <v>1335</v>
      </c>
      <c r="D222" s="127" t="s">
        <v>2977</v>
      </c>
      <c r="E222" s="1">
        <v>56900</v>
      </c>
      <c r="F222" s="1">
        <v>24</v>
      </c>
      <c r="G222" s="1">
        <v>3458</v>
      </c>
      <c r="H222" s="1" t="s">
        <v>630</v>
      </c>
      <c r="I222" s="1" t="s">
        <v>3214</v>
      </c>
      <c r="J222" s="1" t="s">
        <v>3215</v>
      </c>
      <c r="K222" s="126" t="s">
        <v>3216</v>
      </c>
      <c r="L222" s="1" t="s">
        <v>3217</v>
      </c>
      <c r="M222" s="131">
        <v>244236</v>
      </c>
      <c r="N222" s="126" t="s">
        <v>894</v>
      </c>
      <c r="O222" s="131">
        <v>8743928126</v>
      </c>
      <c r="P222" s="1" t="s">
        <v>3218</v>
      </c>
      <c r="Q222" s="1" t="s">
        <v>3219</v>
      </c>
      <c r="R222" s="1" t="s">
        <v>3220</v>
      </c>
      <c r="S222" s="1">
        <v>3000</v>
      </c>
      <c r="T222" s="1">
        <v>170512</v>
      </c>
      <c r="U222" s="1">
        <v>173512</v>
      </c>
      <c r="V222" s="1" t="s">
        <v>1850</v>
      </c>
      <c r="W222" s="129" t="s">
        <v>3221</v>
      </c>
      <c r="X222" t="s">
        <v>3222</v>
      </c>
      <c r="Y222" t="s">
        <v>644</v>
      </c>
      <c r="Z222" t="s">
        <v>645</v>
      </c>
    </row>
    <row r="223" spans="1:26" x14ac:dyDescent="0.3">
      <c r="A223" s="1" t="s">
        <v>3223</v>
      </c>
      <c r="B223" s="126" t="s">
        <v>887</v>
      </c>
      <c r="C223" s="54" t="s">
        <v>1335</v>
      </c>
      <c r="D223" s="127" t="s">
        <v>2806</v>
      </c>
      <c r="E223" s="1">
        <v>44822</v>
      </c>
      <c r="F223" s="1">
        <v>28</v>
      </c>
      <c r="G223" s="1">
        <v>2298</v>
      </c>
      <c r="H223" s="1" t="s">
        <v>630</v>
      </c>
      <c r="I223" s="1" t="s">
        <v>3224</v>
      </c>
      <c r="J223" s="1" t="s">
        <v>3225</v>
      </c>
      <c r="K223" s="126" t="s">
        <v>3226</v>
      </c>
      <c r="L223" s="1" t="s">
        <v>2940</v>
      </c>
      <c r="M223" s="131">
        <v>262001</v>
      </c>
      <c r="N223" s="126" t="s">
        <v>894</v>
      </c>
      <c r="O223" s="131">
        <v>9719677402</v>
      </c>
      <c r="P223" s="1" t="s">
        <v>3227</v>
      </c>
      <c r="Q223" s="1" t="s">
        <v>3228</v>
      </c>
      <c r="R223" s="1" t="s">
        <v>3229</v>
      </c>
      <c r="S223" s="1">
        <v>3000</v>
      </c>
      <c r="T223" s="1">
        <v>21109</v>
      </c>
      <c r="U223" s="1">
        <v>24109</v>
      </c>
      <c r="V223" s="1" t="s">
        <v>817</v>
      </c>
      <c r="W223" s="129" t="s">
        <v>3230</v>
      </c>
      <c r="X223" t="s">
        <v>3231</v>
      </c>
      <c r="Y223" t="s">
        <v>644</v>
      </c>
      <c r="Z223" t="s">
        <v>645</v>
      </c>
    </row>
    <row r="224" spans="1:26" x14ac:dyDescent="0.3">
      <c r="A224" s="1" t="s">
        <v>3232</v>
      </c>
      <c r="B224" s="126" t="s">
        <v>93</v>
      </c>
      <c r="C224" s="1" t="s">
        <v>682</v>
      </c>
      <c r="D224" s="127" t="s">
        <v>3233</v>
      </c>
      <c r="E224" s="1">
        <v>49500</v>
      </c>
      <c r="F224" s="1">
        <v>30</v>
      </c>
      <c r="G224" s="1">
        <v>2187</v>
      </c>
      <c r="H224" s="1" t="s">
        <v>630</v>
      </c>
      <c r="I224" s="1" t="s">
        <v>3234</v>
      </c>
      <c r="J224" s="1" t="s">
        <v>3235</v>
      </c>
      <c r="K224" s="126" t="s">
        <v>3236</v>
      </c>
      <c r="L224" s="1" t="s">
        <v>1247</v>
      </c>
      <c r="M224" s="131">
        <v>335513</v>
      </c>
      <c r="N224" s="126" t="s">
        <v>894</v>
      </c>
      <c r="O224" s="131">
        <v>9587713921</v>
      </c>
      <c r="P224" s="1" t="s">
        <v>3237</v>
      </c>
      <c r="Q224" s="1" t="s">
        <v>3238</v>
      </c>
      <c r="R224" s="1" t="s">
        <v>3239</v>
      </c>
      <c r="S224" s="1">
        <v>3000</v>
      </c>
      <c r="T224" s="1">
        <v>26762</v>
      </c>
      <c r="U224" s="1">
        <v>29762</v>
      </c>
      <c r="V224" s="1" t="s">
        <v>817</v>
      </c>
      <c r="W224" s="129" t="s">
        <v>3240</v>
      </c>
      <c r="X224" t="s">
        <v>3241</v>
      </c>
      <c r="Y224" t="s">
        <v>644</v>
      </c>
      <c r="Z224" t="s">
        <v>645</v>
      </c>
    </row>
    <row r="225" spans="1:26" x14ac:dyDescent="0.3">
      <c r="A225" s="1" t="s">
        <v>3242</v>
      </c>
      <c r="B225" s="126" t="s">
        <v>887</v>
      </c>
      <c r="C225" s="54" t="s">
        <v>1335</v>
      </c>
      <c r="D225" s="127" t="s">
        <v>3243</v>
      </c>
      <c r="E225" s="1">
        <v>38900</v>
      </c>
      <c r="F225" s="1">
        <v>24</v>
      </c>
      <c r="G225" s="1">
        <v>2200</v>
      </c>
      <c r="H225" s="1" t="s">
        <v>630</v>
      </c>
      <c r="I225" s="1" t="s">
        <v>3244</v>
      </c>
      <c r="J225" s="1" t="s">
        <v>3245</v>
      </c>
      <c r="K225" s="126" t="s">
        <v>3246</v>
      </c>
      <c r="L225" s="1" t="s">
        <v>3021</v>
      </c>
      <c r="M225" s="131">
        <v>247001</v>
      </c>
      <c r="N225" s="126" t="s">
        <v>894</v>
      </c>
      <c r="O225" s="131">
        <v>9720280392</v>
      </c>
      <c r="P225" s="1" t="s">
        <v>3247</v>
      </c>
      <c r="Q225" s="1" t="s">
        <v>3248</v>
      </c>
      <c r="R225" s="1" t="s">
        <v>3249</v>
      </c>
      <c r="S225" s="1">
        <v>3000</v>
      </c>
      <c r="T225" s="1">
        <v>29457</v>
      </c>
      <c r="U225" s="1">
        <v>32457</v>
      </c>
      <c r="V225" s="1" t="s">
        <v>817</v>
      </c>
      <c r="W225" s="129" t="s">
        <v>3250</v>
      </c>
      <c r="X225" t="s">
        <v>3251</v>
      </c>
      <c r="Y225" t="s">
        <v>644</v>
      </c>
      <c r="Z225" t="s">
        <v>645</v>
      </c>
    </row>
    <row r="226" spans="1:26" x14ac:dyDescent="0.3">
      <c r="A226" s="1" t="s">
        <v>3252</v>
      </c>
      <c r="B226" s="126" t="s">
        <v>887</v>
      </c>
      <c r="C226" s="54" t="s">
        <v>2544</v>
      </c>
      <c r="D226" s="127" t="s">
        <v>3253</v>
      </c>
      <c r="E226" s="1">
        <v>37000</v>
      </c>
      <c r="F226" s="1">
        <v>24</v>
      </c>
      <c r="G226" s="1">
        <v>1998</v>
      </c>
      <c r="H226" s="1" t="s">
        <v>630</v>
      </c>
      <c r="I226" s="1" t="s">
        <v>3254</v>
      </c>
      <c r="J226" s="1" t="s">
        <v>3255</v>
      </c>
      <c r="K226" s="126" t="s">
        <v>3256</v>
      </c>
      <c r="L226" s="1" t="s">
        <v>892</v>
      </c>
      <c r="M226" s="131">
        <v>282001</v>
      </c>
      <c r="N226" s="126" t="s">
        <v>894</v>
      </c>
      <c r="O226" s="131">
        <v>9719162405</v>
      </c>
      <c r="P226" s="1" t="s">
        <v>3257</v>
      </c>
      <c r="Q226" s="1" t="s">
        <v>3258</v>
      </c>
      <c r="R226" s="1" t="s">
        <v>3259</v>
      </c>
      <c r="S226" s="1">
        <v>3000</v>
      </c>
      <c r="T226" s="1">
        <v>49864</v>
      </c>
      <c r="U226" s="1">
        <v>52864</v>
      </c>
      <c r="V226" s="1" t="s">
        <v>817</v>
      </c>
      <c r="W226" s="129" t="s">
        <v>3260</v>
      </c>
      <c r="X226" t="s">
        <v>3261</v>
      </c>
      <c r="Y226" t="s">
        <v>644</v>
      </c>
      <c r="Z226" t="s">
        <v>645</v>
      </c>
    </row>
    <row r="227" spans="1:26" x14ac:dyDescent="0.3">
      <c r="A227" s="1" t="s">
        <v>3262</v>
      </c>
      <c r="B227" s="126" t="s">
        <v>887</v>
      </c>
      <c r="C227" s="54" t="s">
        <v>2757</v>
      </c>
      <c r="D227" s="127" t="s">
        <v>3263</v>
      </c>
      <c r="E227" s="1">
        <v>34450</v>
      </c>
      <c r="F227" s="1">
        <v>31</v>
      </c>
      <c r="G227" s="1">
        <v>1780</v>
      </c>
      <c r="H227" s="1" t="s">
        <v>630</v>
      </c>
      <c r="I227" s="1" t="s">
        <v>3264</v>
      </c>
      <c r="J227" s="1" t="s">
        <v>3265</v>
      </c>
      <c r="K227" s="126" t="s">
        <v>3266</v>
      </c>
      <c r="L227" s="1" t="s">
        <v>1149</v>
      </c>
      <c r="M227" s="131">
        <v>202138</v>
      </c>
      <c r="N227" s="126" t="s">
        <v>894</v>
      </c>
      <c r="O227" s="131">
        <v>8532047297</v>
      </c>
      <c r="P227" s="1" t="s">
        <v>3267</v>
      </c>
      <c r="Q227" s="1" t="s">
        <v>3268</v>
      </c>
      <c r="R227" s="1" t="s">
        <v>3269</v>
      </c>
      <c r="S227" s="1">
        <v>3000</v>
      </c>
      <c r="T227" s="1">
        <v>31838</v>
      </c>
      <c r="U227" s="1">
        <v>34838</v>
      </c>
      <c r="V227" s="1" t="s">
        <v>685</v>
      </c>
      <c r="W227" s="129" t="s">
        <v>3270</v>
      </c>
      <c r="X227" t="s">
        <v>3271</v>
      </c>
      <c r="Y227" t="s">
        <v>644</v>
      </c>
      <c r="Z227" t="s">
        <v>645</v>
      </c>
    </row>
    <row r="228" spans="1:26" x14ac:dyDescent="0.3">
      <c r="A228" s="1" t="s">
        <v>3272</v>
      </c>
      <c r="B228" s="126" t="s">
        <v>887</v>
      </c>
      <c r="C228" s="54" t="s">
        <v>2544</v>
      </c>
      <c r="D228" s="127" t="s">
        <v>3273</v>
      </c>
      <c r="E228" s="1">
        <v>46058</v>
      </c>
      <c r="F228" s="1">
        <v>29</v>
      </c>
      <c r="G228" s="1">
        <v>2476</v>
      </c>
      <c r="H228" s="1" t="s">
        <v>630</v>
      </c>
      <c r="I228" s="1" t="s">
        <v>3274</v>
      </c>
      <c r="J228" s="1" t="s">
        <v>3275</v>
      </c>
      <c r="K228" s="126" t="s">
        <v>3276</v>
      </c>
      <c r="L228" s="1" t="s">
        <v>1149</v>
      </c>
      <c r="M228" s="131">
        <v>202121</v>
      </c>
      <c r="N228" s="126" t="s">
        <v>894</v>
      </c>
      <c r="O228" s="131">
        <v>9368472087</v>
      </c>
      <c r="P228" s="1" t="s">
        <v>3277</v>
      </c>
      <c r="Q228" s="1" t="s">
        <v>3278</v>
      </c>
      <c r="R228" s="1" t="s">
        <v>3279</v>
      </c>
      <c r="S228" s="1">
        <v>3000</v>
      </c>
      <c r="T228" s="1">
        <v>52643</v>
      </c>
      <c r="U228" s="1">
        <v>55643</v>
      </c>
      <c r="V228" s="1" t="s">
        <v>1005</v>
      </c>
      <c r="W228" s="129" t="s">
        <v>3280</v>
      </c>
      <c r="X228" t="s">
        <v>3281</v>
      </c>
      <c r="Y228" t="s">
        <v>644</v>
      </c>
      <c r="Z228" t="s">
        <v>645</v>
      </c>
    </row>
    <row r="229" spans="1:26" x14ac:dyDescent="0.3">
      <c r="A229" s="1" t="s">
        <v>3282</v>
      </c>
      <c r="B229" s="126" t="s">
        <v>93</v>
      </c>
      <c r="C229" s="54" t="s">
        <v>3283</v>
      </c>
      <c r="D229" s="127" t="s">
        <v>3284</v>
      </c>
      <c r="E229" s="1">
        <v>54828</v>
      </c>
      <c r="F229" s="1">
        <v>28</v>
      </c>
      <c r="G229" s="1">
        <v>2840</v>
      </c>
      <c r="H229" s="1" t="s">
        <v>630</v>
      </c>
      <c r="I229" s="1" t="s">
        <v>3285</v>
      </c>
      <c r="J229" s="1" t="s">
        <v>3286</v>
      </c>
      <c r="K229" s="126" t="s">
        <v>3287</v>
      </c>
      <c r="L229" s="1" t="s">
        <v>3288</v>
      </c>
      <c r="M229" s="131">
        <v>326513</v>
      </c>
      <c r="N229" s="126" t="s">
        <v>894</v>
      </c>
      <c r="O229" s="131">
        <v>9001893456</v>
      </c>
      <c r="P229" s="1" t="s">
        <v>3289</v>
      </c>
      <c r="Q229" s="1" t="s">
        <v>3290</v>
      </c>
      <c r="R229" s="1" t="s">
        <v>3291</v>
      </c>
      <c r="S229" s="1">
        <v>3000</v>
      </c>
      <c r="T229" s="1">
        <v>36737</v>
      </c>
      <c r="U229" s="1">
        <v>39737</v>
      </c>
      <c r="V229" s="1" t="s">
        <v>1019</v>
      </c>
      <c r="W229" s="129" t="s">
        <v>3292</v>
      </c>
      <c r="X229" t="s">
        <v>3293</v>
      </c>
      <c r="Y229" t="s">
        <v>644</v>
      </c>
      <c r="Z229" t="s">
        <v>645</v>
      </c>
    </row>
    <row r="230" spans="1:26" x14ac:dyDescent="0.3">
      <c r="A230" s="1" t="s">
        <v>3294</v>
      </c>
      <c r="B230" s="126" t="s">
        <v>887</v>
      </c>
      <c r="C230" s="54" t="s">
        <v>2857</v>
      </c>
      <c r="D230" s="127" t="s">
        <v>3295</v>
      </c>
      <c r="E230" s="1">
        <v>50399</v>
      </c>
      <c r="F230" s="1">
        <v>25</v>
      </c>
      <c r="G230" s="1">
        <v>2583</v>
      </c>
      <c r="H230" s="1" t="s">
        <v>630</v>
      </c>
      <c r="I230" s="1" t="s">
        <v>3296</v>
      </c>
      <c r="J230" s="1" t="s">
        <v>3297</v>
      </c>
      <c r="K230" s="126" t="s">
        <v>3298</v>
      </c>
      <c r="L230" s="1" t="s">
        <v>1149</v>
      </c>
      <c r="M230" s="131">
        <v>204215</v>
      </c>
      <c r="N230" s="126" t="s">
        <v>894</v>
      </c>
      <c r="O230" s="131">
        <v>8923428242</v>
      </c>
      <c r="P230" s="1" t="s">
        <v>3299</v>
      </c>
      <c r="Q230" s="1" t="s">
        <v>3300</v>
      </c>
      <c r="R230" s="1" t="s">
        <v>3301</v>
      </c>
      <c r="S230" s="1">
        <v>3000</v>
      </c>
      <c r="T230" s="1">
        <v>55085</v>
      </c>
      <c r="U230" s="1">
        <v>58085</v>
      </c>
      <c r="V230" s="1" t="s">
        <v>1078</v>
      </c>
      <c r="W230" s="129" t="s">
        <v>3302</v>
      </c>
      <c r="X230" t="s">
        <v>3303</v>
      </c>
      <c r="Y230" t="s">
        <v>644</v>
      </c>
      <c r="Z230" t="s">
        <v>645</v>
      </c>
    </row>
    <row r="231" spans="1:26" x14ac:dyDescent="0.3">
      <c r="A231" s="1" t="s">
        <v>3304</v>
      </c>
      <c r="B231" s="126" t="s">
        <v>89</v>
      </c>
      <c r="C231" s="54" t="s">
        <v>689</v>
      </c>
      <c r="D231" s="127" t="s">
        <v>3305</v>
      </c>
      <c r="E231" s="1">
        <v>58900</v>
      </c>
      <c r="F231" s="1">
        <v>36</v>
      </c>
      <c r="G231" s="1">
        <v>2419</v>
      </c>
      <c r="H231" s="1" t="s">
        <v>630</v>
      </c>
      <c r="I231" s="1" t="s">
        <v>3306</v>
      </c>
      <c r="J231" s="1" t="s">
        <v>3307</v>
      </c>
      <c r="K231" s="126" t="s">
        <v>3308</v>
      </c>
      <c r="L231" s="1" t="s">
        <v>2899</v>
      </c>
      <c r="M231" s="131">
        <v>784001</v>
      </c>
      <c r="N231" s="126" t="s">
        <v>894</v>
      </c>
      <c r="O231" s="131">
        <v>8721014655</v>
      </c>
      <c r="P231" s="1" t="s">
        <v>3309</v>
      </c>
      <c r="Q231" s="1" t="s">
        <v>3310</v>
      </c>
      <c r="R231" s="1" t="s">
        <v>3311</v>
      </c>
      <c r="S231" s="1">
        <v>3000</v>
      </c>
      <c r="T231" s="1">
        <v>109876</v>
      </c>
      <c r="U231" s="1">
        <v>112876</v>
      </c>
      <c r="V231" s="1" t="s">
        <v>657</v>
      </c>
      <c r="W231" s="129" t="s">
        <v>3312</v>
      </c>
      <c r="X231" t="s">
        <v>3313</v>
      </c>
      <c r="Y231" t="s">
        <v>644</v>
      </c>
      <c r="Z231" t="s">
        <v>645</v>
      </c>
    </row>
    <row r="232" spans="1:26" x14ac:dyDescent="0.3">
      <c r="A232" s="1" t="s">
        <v>3314</v>
      </c>
      <c r="B232" s="126" t="s">
        <v>887</v>
      </c>
      <c r="C232" s="54" t="s">
        <v>2254</v>
      </c>
      <c r="D232" s="127" t="s">
        <v>3315</v>
      </c>
      <c r="E232" s="1">
        <v>49050</v>
      </c>
      <c r="F232" s="1">
        <v>20</v>
      </c>
      <c r="G232" s="1">
        <v>3035</v>
      </c>
      <c r="H232" s="1" t="s">
        <v>630</v>
      </c>
      <c r="I232" s="1" t="s">
        <v>3316</v>
      </c>
      <c r="J232" s="1" t="s">
        <v>3317</v>
      </c>
      <c r="K232" s="126" t="s">
        <v>3318</v>
      </c>
      <c r="L232" s="1" t="s">
        <v>892</v>
      </c>
      <c r="M232" s="131">
        <v>283101</v>
      </c>
      <c r="N232" s="126" t="s">
        <v>894</v>
      </c>
      <c r="O232" s="131">
        <v>9568423000</v>
      </c>
      <c r="P232" s="1" t="s">
        <v>3319</v>
      </c>
      <c r="Q232" s="1" t="s">
        <v>3320</v>
      </c>
      <c r="R232" s="1" t="s">
        <v>3321</v>
      </c>
      <c r="S232" s="1">
        <v>3000</v>
      </c>
      <c r="T232" s="1">
        <v>132222</v>
      </c>
      <c r="U232" s="1">
        <v>135222</v>
      </c>
      <c r="V232" s="1" t="s">
        <v>714</v>
      </c>
      <c r="W232" s="129" t="s">
        <v>3322</v>
      </c>
      <c r="X232" t="s">
        <v>3323</v>
      </c>
      <c r="Y232" t="s">
        <v>644</v>
      </c>
      <c r="Z232" t="s">
        <v>645</v>
      </c>
    </row>
    <row r="233" spans="1:26" x14ac:dyDescent="0.3">
      <c r="A233" s="1" t="s">
        <v>3324</v>
      </c>
      <c r="B233" s="126" t="s">
        <v>887</v>
      </c>
      <c r="C233" s="54" t="s">
        <v>1335</v>
      </c>
      <c r="D233" s="127" t="s">
        <v>3325</v>
      </c>
      <c r="E233" s="1">
        <v>52900</v>
      </c>
      <c r="F233" s="1">
        <v>18</v>
      </c>
      <c r="G233" s="1">
        <v>3510</v>
      </c>
      <c r="H233" s="1" t="s">
        <v>630</v>
      </c>
      <c r="I233" s="1" t="s">
        <v>3326</v>
      </c>
      <c r="J233" s="1" t="s">
        <v>3327</v>
      </c>
      <c r="K233" s="126" t="s">
        <v>3328</v>
      </c>
      <c r="L233" s="1" t="s">
        <v>1000</v>
      </c>
      <c r="M233" s="131">
        <v>203001</v>
      </c>
      <c r="N233" s="126" t="s">
        <v>894</v>
      </c>
      <c r="O233" s="131">
        <v>9720430365</v>
      </c>
      <c r="P233" s="1" t="s">
        <v>3329</v>
      </c>
      <c r="Q233" s="1" t="s">
        <v>3330</v>
      </c>
      <c r="R233" s="1" t="s">
        <v>3331</v>
      </c>
      <c r="S233" s="1">
        <v>3000</v>
      </c>
      <c r="T233" s="1">
        <v>75709</v>
      </c>
      <c r="U233" s="1">
        <v>78709</v>
      </c>
      <c r="V233" s="1" t="s">
        <v>1105</v>
      </c>
      <c r="W233" s="129" t="s">
        <v>3332</v>
      </c>
      <c r="X233" t="s">
        <v>3333</v>
      </c>
      <c r="Y233" t="s">
        <v>644</v>
      </c>
      <c r="Z233" t="s">
        <v>645</v>
      </c>
    </row>
    <row r="234" spans="1:26" x14ac:dyDescent="0.3">
      <c r="A234" s="1" t="s">
        <v>3334</v>
      </c>
      <c r="B234" s="126" t="s">
        <v>887</v>
      </c>
      <c r="C234" s="54" t="s">
        <v>2544</v>
      </c>
      <c r="D234" s="127" t="s">
        <v>3335</v>
      </c>
      <c r="E234" s="1">
        <v>66899</v>
      </c>
      <c r="F234" s="1">
        <v>30</v>
      </c>
      <c r="G234" s="1">
        <v>2899</v>
      </c>
      <c r="H234" s="1" t="s">
        <v>630</v>
      </c>
      <c r="I234" s="1" t="s">
        <v>3336</v>
      </c>
      <c r="J234" s="1" t="s">
        <v>3337</v>
      </c>
      <c r="K234" s="126" t="s">
        <v>3338</v>
      </c>
      <c r="L234" s="1" t="s">
        <v>2400</v>
      </c>
      <c r="M234" s="131">
        <v>281005</v>
      </c>
      <c r="N234" s="126" t="s">
        <v>894</v>
      </c>
      <c r="O234" s="131">
        <v>9870911096</v>
      </c>
      <c r="P234" s="1" t="s">
        <v>3339</v>
      </c>
      <c r="Q234" s="1" t="s">
        <v>3340</v>
      </c>
      <c r="R234" s="1" t="s">
        <v>3341</v>
      </c>
      <c r="S234" s="1">
        <v>3000</v>
      </c>
      <c r="T234" s="1">
        <v>81101</v>
      </c>
      <c r="U234" s="1">
        <v>84101</v>
      </c>
      <c r="V234" s="1" t="s">
        <v>870</v>
      </c>
      <c r="W234" s="129" t="s">
        <v>3342</v>
      </c>
      <c r="X234" t="s">
        <v>3343</v>
      </c>
      <c r="Y234" t="s">
        <v>644</v>
      </c>
      <c r="Z234" t="s">
        <v>645</v>
      </c>
    </row>
    <row r="235" spans="1:26" x14ac:dyDescent="0.3">
      <c r="A235" s="1" t="s">
        <v>3344</v>
      </c>
      <c r="B235" s="126" t="s">
        <v>2087</v>
      </c>
      <c r="C235" s="54" t="s">
        <v>1335</v>
      </c>
      <c r="D235" s="127" t="s">
        <v>3123</v>
      </c>
      <c r="E235" s="1">
        <v>55099</v>
      </c>
      <c r="F235" s="1">
        <v>36</v>
      </c>
      <c r="G235" s="1">
        <v>2210</v>
      </c>
      <c r="H235" s="1" t="s">
        <v>630</v>
      </c>
      <c r="I235" s="1" t="s">
        <v>3345</v>
      </c>
      <c r="J235" s="1" t="s">
        <v>3346</v>
      </c>
      <c r="K235" s="126" t="s">
        <v>3347</v>
      </c>
      <c r="L235" s="1" t="s">
        <v>3348</v>
      </c>
      <c r="M235" s="131">
        <v>496334</v>
      </c>
      <c r="N235" s="126" t="s">
        <v>894</v>
      </c>
      <c r="O235" s="131">
        <v>7247300547</v>
      </c>
      <c r="P235" s="1" t="s">
        <v>3349</v>
      </c>
      <c r="Q235" s="1" t="s">
        <v>3350</v>
      </c>
      <c r="R235" s="1" t="s">
        <v>3351</v>
      </c>
      <c r="S235" s="1">
        <v>3000</v>
      </c>
      <c r="T235" s="1">
        <v>75394</v>
      </c>
      <c r="U235" s="1">
        <v>78394</v>
      </c>
      <c r="V235" s="1" t="s">
        <v>2157</v>
      </c>
      <c r="W235" s="129" t="s">
        <v>3352</v>
      </c>
      <c r="X235" t="s">
        <v>3353</v>
      </c>
      <c r="Y235" t="s">
        <v>644</v>
      </c>
      <c r="Z235" t="s">
        <v>645</v>
      </c>
    </row>
    <row r="236" spans="1:26" x14ac:dyDescent="0.3">
      <c r="A236" s="1" t="s">
        <v>3354</v>
      </c>
      <c r="B236" s="126" t="s">
        <v>887</v>
      </c>
      <c r="C236" s="54" t="s">
        <v>2565</v>
      </c>
      <c r="D236" s="127" t="s">
        <v>3355</v>
      </c>
      <c r="E236" s="1">
        <v>43899</v>
      </c>
      <c r="F236" s="1">
        <v>28</v>
      </c>
      <c r="G236" s="1">
        <v>2299</v>
      </c>
      <c r="H236" s="1" t="s">
        <v>630</v>
      </c>
      <c r="I236" s="1" t="s">
        <v>3356</v>
      </c>
      <c r="J236" s="1" t="s">
        <v>3357</v>
      </c>
      <c r="K236" s="126" t="s">
        <v>3358</v>
      </c>
      <c r="L236" s="1" t="s">
        <v>892</v>
      </c>
      <c r="M236" s="131">
        <v>282001</v>
      </c>
      <c r="N236" s="126" t="s">
        <v>894</v>
      </c>
      <c r="O236" s="131">
        <v>7500167695</v>
      </c>
      <c r="P236" s="1" t="s">
        <v>3359</v>
      </c>
      <c r="Q236" s="1" t="s">
        <v>3360</v>
      </c>
      <c r="R236" s="1" t="s">
        <v>3361</v>
      </c>
      <c r="S236" s="1">
        <v>3000</v>
      </c>
      <c r="T236" s="1">
        <v>16999</v>
      </c>
      <c r="U236" s="1">
        <v>19999</v>
      </c>
      <c r="V236" s="1" t="s">
        <v>1005</v>
      </c>
      <c r="W236" s="129" t="s">
        <v>3362</v>
      </c>
      <c r="X236" t="s">
        <v>3363</v>
      </c>
      <c r="Y236" t="s">
        <v>644</v>
      </c>
      <c r="Z236" t="s">
        <v>645</v>
      </c>
    </row>
    <row r="237" spans="1:26" x14ac:dyDescent="0.3">
      <c r="A237" s="1" t="s">
        <v>3364</v>
      </c>
      <c r="B237" s="126" t="s">
        <v>887</v>
      </c>
      <c r="C237" s="54" t="s">
        <v>2254</v>
      </c>
      <c r="D237" s="127" t="s">
        <v>3365</v>
      </c>
      <c r="E237" s="1">
        <v>41336</v>
      </c>
      <c r="F237" s="1">
        <v>32</v>
      </c>
      <c r="G237" s="1">
        <v>2221</v>
      </c>
      <c r="H237" s="1" t="s">
        <v>630</v>
      </c>
      <c r="I237" s="1" t="s">
        <v>3366</v>
      </c>
      <c r="J237" s="1" t="s">
        <v>3367</v>
      </c>
      <c r="K237" s="126" t="s">
        <v>3368</v>
      </c>
      <c r="L237" s="1" t="s">
        <v>1149</v>
      </c>
      <c r="M237" s="131">
        <v>202002</v>
      </c>
      <c r="N237" s="126" t="s">
        <v>894</v>
      </c>
      <c r="O237" s="131">
        <v>7830752822</v>
      </c>
      <c r="P237" s="1" t="s">
        <v>3369</v>
      </c>
      <c r="Q237" s="1" t="s">
        <v>3370</v>
      </c>
      <c r="R237" s="1" t="s">
        <v>3371</v>
      </c>
      <c r="S237" s="1">
        <v>3000</v>
      </c>
      <c r="T237" s="1">
        <v>54756</v>
      </c>
      <c r="U237" s="1">
        <v>57756</v>
      </c>
      <c r="V237" s="1" t="s">
        <v>685</v>
      </c>
      <c r="W237" s="129" t="s">
        <v>3372</v>
      </c>
      <c r="X237" t="s">
        <v>3373</v>
      </c>
      <c r="Y237" t="s">
        <v>644</v>
      </c>
      <c r="Z237" t="s">
        <v>645</v>
      </c>
    </row>
    <row r="238" spans="1:26" x14ac:dyDescent="0.3">
      <c r="A238" s="1" t="s">
        <v>3374</v>
      </c>
      <c r="B238" s="126" t="s">
        <v>887</v>
      </c>
      <c r="C238" s="54" t="s">
        <v>2544</v>
      </c>
      <c r="D238" s="127" t="s">
        <v>3375</v>
      </c>
      <c r="E238" s="1">
        <v>44406</v>
      </c>
      <c r="F238" s="1">
        <v>37</v>
      </c>
      <c r="G238" s="1">
        <v>2535</v>
      </c>
      <c r="H238" s="1" t="s">
        <v>630</v>
      </c>
      <c r="I238" s="1" t="s">
        <v>3376</v>
      </c>
      <c r="J238" s="1" t="s">
        <v>3377</v>
      </c>
      <c r="K238" s="126" t="s">
        <v>3378</v>
      </c>
      <c r="L238" s="1" t="s">
        <v>3379</v>
      </c>
      <c r="M238" s="131">
        <v>284135</v>
      </c>
      <c r="N238" s="126" t="s">
        <v>894</v>
      </c>
      <c r="O238" s="131">
        <v>7518227956</v>
      </c>
      <c r="P238" s="1" t="s">
        <v>682</v>
      </c>
      <c r="Q238" s="1" t="s">
        <v>3380</v>
      </c>
      <c r="R238" s="1" t="s">
        <v>3381</v>
      </c>
      <c r="S238" s="1">
        <v>3000</v>
      </c>
      <c r="T238" s="1">
        <v>35567</v>
      </c>
      <c r="U238" s="1">
        <v>38567</v>
      </c>
      <c r="V238" s="1" t="s">
        <v>817</v>
      </c>
      <c r="W238" s="129" t="s">
        <v>3382</v>
      </c>
      <c r="X238" t="s">
        <v>3383</v>
      </c>
      <c r="Y238" t="s">
        <v>644</v>
      </c>
      <c r="Z238" t="s">
        <v>645</v>
      </c>
    </row>
    <row r="239" spans="1:26" x14ac:dyDescent="0.3">
      <c r="A239" s="1" t="s">
        <v>3384</v>
      </c>
      <c r="B239" s="126" t="s">
        <v>887</v>
      </c>
      <c r="C239" s="54" t="s">
        <v>2483</v>
      </c>
      <c r="D239" s="127" t="s">
        <v>2172</v>
      </c>
      <c r="E239" s="1">
        <v>43243</v>
      </c>
      <c r="F239" s="1">
        <v>24</v>
      </c>
      <c r="G239" s="1">
        <v>2465</v>
      </c>
      <c r="H239" s="1" t="s">
        <v>630</v>
      </c>
      <c r="I239" s="1" t="s">
        <v>3385</v>
      </c>
      <c r="J239" s="1" t="s">
        <v>3386</v>
      </c>
      <c r="K239" s="126" t="s">
        <v>3387</v>
      </c>
      <c r="L239" s="1" t="s">
        <v>1149</v>
      </c>
      <c r="M239" s="131">
        <v>202133</v>
      </c>
      <c r="N239" s="126" t="s">
        <v>894</v>
      </c>
      <c r="O239" s="131">
        <v>7505523406</v>
      </c>
      <c r="P239" s="1" t="s">
        <v>3388</v>
      </c>
      <c r="Q239" s="1" t="s">
        <v>3389</v>
      </c>
      <c r="R239" s="1" t="s">
        <v>3390</v>
      </c>
      <c r="S239" s="1">
        <v>3000</v>
      </c>
      <c r="T239" s="1">
        <v>18881</v>
      </c>
      <c r="U239" s="1">
        <v>21881</v>
      </c>
      <c r="V239" s="1" t="s">
        <v>817</v>
      </c>
      <c r="W239" s="129" t="s">
        <v>3391</v>
      </c>
      <c r="X239" t="s">
        <v>3392</v>
      </c>
      <c r="Y239" t="s">
        <v>644</v>
      </c>
      <c r="Z239" t="s">
        <v>645</v>
      </c>
    </row>
    <row r="240" spans="1:26" x14ac:dyDescent="0.3">
      <c r="A240" s="1" t="s">
        <v>3393</v>
      </c>
      <c r="B240" s="126" t="s">
        <v>1094</v>
      </c>
      <c r="C240" s="54" t="s">
        <v>2544</v>
      </c>
      <c r="D240" s="127" t="s">
        <v>3394</v>
      </c>
      <c r="E240" s="1">
        <v>200000</v>
      </c>
      <c r="F240" s="1">
        <v>36</v>
      </c>
      <c r="G240" s="1">
        <v>7939</v>
      </c>
      <c r="H240" s="1" t="s">
        <v>630</v>
      </c>
      <c r="I240" s="1" t="s">
        <v>3395</v>
      </c>
      <c r="J240" s="1" t="s">
        <v>3396</v>
      </c>
      <c r="K240" s="126" t="s">
        <v>3397</v>
      </c>
      <c r="L240" s="1" t="s">
        <v>3398</v>
      </c>
      <c r="M240" s="131">
        <v>452001</v>
      </c>
      <c r="N240" s="126" t="s">
        <v>894</v>
      </c>
      <c r="O240" s="131">
        <v>9993997625</v>
      </c>
      <c r="P240" s="1" t="s">
        <v>3399</v>
      </c>
      <c r="Q240" s="1" t="s">
        <v>3400</v>
      </c>
      <c r="R240" s="1" t="s">
        <v>3401</v>
      </c>
      <c r="S240" s="1">
        <v>3000</v>
      </c>
      <c r="T240" s="1">
        <v>157477</v>
      </c>
      <c r="U240" s="1">
        <v>160477</v>
      </c>
      <c r="V240" s="1" t="s">
        <v>1675</v>
      </c>
      <c r="W240" s="129" t="s">
        <v>3402</v>
      </c>
      <c r="X240" t="s">
        <v>3403</v>
      </c>
      <c r="Y240" t="s">
        <v>644</v>
      </c>
      <c r="Z240" t="s">
        <v>645</v>
      </c>
    </row>
    <row r="241" spans="1:26" x14ac:dyDescent="0.3">
      <c r="A241" s="1" t="s">
        <v>3404</v>
      </c>
      <c r="B241" s="126" t="s">
        <v>953</v>
      </c>
      <c r="C241" s="54" t="s">
        <v>2483</v>
      </c>
      <c r="D241" s="127" t="s">
        <v>3405</v>
      </c>
      <c r="E241" s="1">
        <v>89876</v>
      </c>
      <c r="F241" s="1">
        <v>38</v>
      </c>
      <c r="G241" s="1">
        <v>4022</v>
      </c>
      <c r="H241" s="1" t="s">
        <v>630</v>
      </c>
      <c r="I241" s="1" t="s">
        <v>3406</v>
      </c>
      <c r="J241" s="1" t="s">
        <v>3407</v>
      </c>
      <c r="K241" s="126" t="s">
        <v>3408</v>
      </c>
      <c r="L241" s="1" t="s">
        <v>3409</v>
      </c>
      <c r="M241" s="131">
        <v>848203</v>
      </c>
      <c r="N241" s="126" t="s">
        <v>894</v>
      </c>
      <c r="O241" s="131">
        <v>7762052242</v>
      </c>
      <c r="P241" s="1" t="s">
        <v>3410</v>
      </c>
      <c r="Q241" s="1" t="s">
        <v>3411</v>
      </c>
      <c r="R241" s="1" t="s">
        <v>3412</v>
      </c>
      <c r="S241" s="1">
        <v>3000</v>
      </c>
      <c r="T241" s="1">
        <v>76980</v>
      </c>
      <c r="U241" s="1">
        <v>79980</v>
      </c>
      <c r="V241" s="1" t="s">
        <v>2782</v>
      </c>
      <c r="W241" s="129" t="s">
        <v>3413</v>
      </c>
      <c r="X241" t="s">
        <v>3414</v>
      </c>
      <c r="Y241" t="s">
        <v>644</v>
      </c>
      <c r="Z241" t="s">
        <v>645</v>
      </c>
    </row>
    <row r="242" spans="1:26" x14ac:dyDescent="0.3">
      <c r="A242" s="1" t="s">
        <v>3415</v>
      </c>
      <c r="B242" s="126" t="s">
        <v>1094</v>
      </c>
      <c r="C242" s="54" t="s">
        <v>2757</v>
      </c>
      <c r="D242" s="127" t="s">
        <v>3416</v>
      </c>
      <c r="E242" s="1">
        <v>46000</v>
      </c>
      <c r="F242" s="1">
        <v>36</v>
      </c>
      <c r="G242" s="1">
        <v>1865</v>
      </c>
      <c r="H242" s="1" t="s">
        <v>630</v>
      </c>
      <c r="I242" s="1" t="s">
        <v>3417</v>
      </c>
      <c r="J242" s="1" t="s">
        <v>3418</v>
      </c>
      <c r="K242" s="126" t="s">
        <v>3419</v>
      </c>
      <c r="L242" s="1" t="s">
        <v>3398</v>
      </c>
      <c r="M242" s="131">
        <v>452007</v>
      </c>
      <c r="N242" s="126" t="s">
        <v>894</v>
      </c>
      <c r="O242" s="131">
        <v>9893065511</v>
      </c>
      <c r="P242" s="1" t="s">
        <v>3420</v>
      </c>
      <c r="Q242" s="1" t="s">
        <v>3421</v>
      </c>
      <c r="R242" s="1" t="s">
        <v>3422</v>
      </c>
      <c r="S242" s="1">
        <v>3000</v>
      </c>
      <c r="T242" s="1">
        <v>163671</v>
      </c>
      <c r="U242" s="1">
        <v>166671</v>
      </c>
      <c r="V242" s="1" t="s">
        <v>1141</v>
      </c>
      <c r="W242" s="129" t="s">
        <v>3423</v>
      </c>
      <c r="X242" t="s">
        <v>3424</v>
      </c>
      <c r="Y242" t="s">
        <v>644</v>
      </c>
      <c r="Z242" t="s">
        <v>645</v>
      </c>
    </row>
    <row r="243" spans="1:26" x14ac:dyDescent="0.3">
      <c r="A243" s="1" t="s">
        <v>3425</v>
      </c>
      <c r="B243" s="126" t="s">
        <v>887</v>
      </c>
      <c r="C243" s="54" t="s">
        <v>2483</v>
      </c>
      <c r="D243" s="127" t="s">
        <v>2817</v>
      </c>
      <c r="E243" s="1">
        <v>47136</v>
      </c>
      <c r="F243" s="1">
        <v>24</v>
      </c>
      <c r="G243" s="1">
        <v>2475</v>
      </c>
      <c r="H243" s="1" t="s">
        <v>630</v>
      </c>
      <c r="I243" s="1" t="s">
        <v>3426</v>
      </c>
      <c r="J243" s="1" t="s">
        <v>3427</v>
      </c>
      <c r="K243" s="126" t="s">
        <v>3428</v>
      </c>
      <c r="L243" s="1" t="s">
        <v>1149</v>
      </c>
      <c r="M243" s="131">
        <v>202165</v>
      </c>
      <c r="N243" s="126" t="s">
        <v>894</v>
      </c>
      <c r="O243" s="131">
        <v>9761143770</v>
      </c>
      <c r="P243" s="1" t="s">
        <v>3429</v>
      </c>
      <c r="Q243" s="1" t="s">
        <v>3430</v>
      </c>
      <c r="R243" s="1" t="s">
        <v>3431</v>
      </c>
      <c r="S243" s="1">
        <v>3000</v>
      </c>
      <c r="T243" s="1">
        <v>61456</v>
      </c>
      <c r="U243" s="1">
        <v>64456</v>
      </c>
      <c r="V243" s="1" t="s">
        <v>817</v>
      </c>
      <c r="W243" s="129" t="s">
        <v>3432</v>
      </c>
      <c r="X243" t="s">
        <v>3433</v>
      </c>
      <c r="Y243" t="s">
        <v>644</v>
      </c>
      <c r="Z243" t="s">
        <v>645</v>
      </c>
    </row>
    <row r="244" spans="1:26" x14ac:dyDescent="0.3">
      <c r="A244" s="1" t="s">
        <v>3434</v>
      </c>
      <c r="B244" s="126" t="s">
        <v>1679</v>
      </c>
      <c r="C244" s="54" t="s">
        <v>1335</v>
      </c>
      <c r="D244" s="127" t="s">
        <v>3435</v>
      </c>
      <c r="E244" s="1">
        <v>48899</v>
      </c>
      <c r="F244" s="1">
        <v>24</v>
      </c>
      <c r="G244" s="1">
        <v>2576</v>
      </c>
      <c r="H244" s="1" t="s">
        <v>630</v>
      </c>
      <c r="I244" s="1" t="s">
        <v>3436</v>
      </c>
      <c r="J244" s="1" t="s">
        <v>3437</v>
      </c>
      <c r="K244" s="126" t="s">
        <v>3438</v>
      </c>
      <c r="L244" s="1" t="s">
        <v>1086</v>
      </c>
      <c r="M244" s="131">
        <v>201001</v>
      </c>
      <c r="N244" s="126" t="s">
        <v>894</v>
      </c>
      <c r="O244" s="131">
        <v>8527254573</v>
      </c>
      <c r="P244" s="1" t="s">
        <v>3439</v>
      </c>
      <c r="Q244" s="1" t="s">
        <v>3440</v>
      </c>
      <c r="R244" s="1" t="s">
        <v>3441</v>
      </c>
      <c r="S244" s="1">
        <v>3000</v>
      </c>
      <c r="T244" s="1">
        <v>53495</v>
      </c>
      <c r="U244" s="1">
        <v>56495</v>
      </c>
      <c r="V244" s="1" t="s">
        <v>2157</v>
      </c>
      <c r="W244" s="129" t="s">
        <v>3442</v>
      </c>
      <c r="X244" t="s">
        <v>3443</v>
      </c>
      <c r="Y244" t="s">
        <v>644</v>
      </c>
      <c r="Z244" t="s">
        <v>645</v>
      </c>
    </row>
    <row r="245" spans="1:26" x14ac:dyDescent="0.3">
      <c r="A245" s="1" t="s">
        <v>3444</v>
      </c>
      <c r="B245" s="126" t="s">
        <v>887</v>
      </c>
      <c r="C245" s="54" t="s">
        <v>1335</v>
      </c>
      <c r="D245" s="127" t="s">
        <v>3445</v>
      </c>
      <c r="E245" s="1">
        <v>52735</v>
      </c>
      <c r="F245" s="1">
        <v>28</v>
      </c>
      <c r="G245" s="1">
        <v>2580</v>
      </c>
      <c r="H245" s="1" t="s">
        <v>630</v>
      </c>
      <c r="I245" s="1" t="s">
        <v>3446</v>
      </c>
      <c r="J245" s="1" t="s">
        <v>3447</v>
      </c>
      <c r="K245" s="126" t="s">
        <v>3448</v>
      </c>
      <c r="L245" s="1" t="s">
        <v>2139</v>
      </c>
      <c r="M245" s="131">
        <v>222137</v>
      </c>
      <c r="N245" s="126" t="s">
        <v>894</v>
      </c>
      <c r="O245" s="131">
        <v>7393852458</v>
      </c>
      <c r="P245" s="1" t="s">
        <v>682</v>
      </c>
      <c r="Q245" s="1" t="s">
        <v>3449</v>
      </c>
      <c r="R245" s="1" t="s">
        <v>3450</v>
      </c>
      <c r="S245" s="1">
        <v>3000</v>
      </c>
      <c r="T245" s="1">
        <v>32891</v>
      </c>
      <c r="U245" s="1">
        <v>35891</v>
      </c>
      <c r="V245" s="1" t="s">
        <v>1105</v>
      </c>
      <c r="W245" s="129" t="s">
        <v>3451</v>
      </c>
      <c r="X245" t="s">
        <v>3452</v>
      </c>
      <c r="Y245" t="s">
        <v>644</v>
      </c>
      <c r="Z245" t="s">
        <v>645</v>
      </c>
    </row>
    <row r="246" spans="1:26" x14ac:dyDescent="0.3">
      <c r="A246" s="1" t="s">
        <v>3453</v>
      </c>
      <c r="B246" s="126" t="s">
        <v>953</v>
      </c>
      <c r="C246" s="1" t="s">
        <v>682</v>
      </c>
      <c r="D246" s="127" t="s">
        <v>3454</v>
      </c>
      <c r="E246" s="1">
        <v>84067</v>
      </c>
      <c r="F246" s="1">
        <v>30</v>
      </c>
      <c r="G246" s="1">
        <v>3706</v>
      </c>
      <c r="H246" s="1" t="s">
        <v>630</v>
      </c>
      <c r="I246" s="1" t="s">
        <v>3455</v>
      </c>
      <c r="J246" s="1" t="s">
        <v>3456</v>
      </c>
      <c r="K246" s="126" t="s">
        <v>3457</v>
      </c>
      <c r="L246" s="1" t="s">
        <v>3458</v>
      </c>
      <c r="M246" s="131">
        <v>845436</v>
      </c>
      <c r="N246" s="126" t="s">
        <v>894</v>
      </c>
      <c r="O246" s="131">
        <v>9006827113</v>
      </c>
      <c r="P246" s="1" t="s">
        <v>3459</v>
      </c>
      <c r="Q246" s="1" t="s">
        <v>3460</v>
      </c>
      <c r="R246" s="1" t="s">
        <v>3461</v>
      </c>
      <c r="S246" s="1">
        <v>3000</v>
      </c>
      <c r="T246" s="1">
        <v>25190</v>
      </c>
      <c r="U246" s="1">
        <v>28190</v>
      </c>
      <c r="V246" s="1" t="s">
        <v>1303</v>
      </c>
      <c r="W246" s="129" t="s">
        <v>3462</v>
      </c>
      <c r="X246" t="s">
        <v>3463</v>
      </c>
      <c r="Y246" t="s">
        <v>644</v>
      </c>
      <c r="Z246" t="s">
        <v>645</v>
      </c>
    </row>
    <row r="247" spans="1:26" x14ac:dyDescent="0.3">
      <c r="A247" s="1" t="s">
        <v>3464</v>
      </c>
      <c r="B247" s="126" t="s">
        <v>1094</v>
      </c>
      <c r="C247" s="54" t="s">
        <v>2544</v>
      </c>
      <c r="D247" s="127" t="s">
        <v>3465</v>
      </c>
      <c r="E247" s="1">
        <v>45900</v>
      </c>
      <c r="F247" s="1">
        <v>30</v>
      </c>
      <c r="G247" s="1">
        <v>2159</v>
      </c>
      <c r="H247" s="1" t="s">
        <v>630</v>
      </c>
      <c r="I247" s="1" t="s">
        <v>3466</v>
      </c>
      <c r="J247" s="1" t="s">
        <v>2473</v>
      </c>
      <c r="K247" s="126" t="s">
        <v>3467</v>
      </c>
      <c r="L247" s="1" t="s">
        <v>2799</v>
      </c>
      <c r="M247" s="131">
        <v>458441</v>
      </c>
      <c r="N247" s="126" t="s">
        <v>894</v>
      </c>
      <c r="O247" s="131">
        <v>9522457241</v>
      </c>
      <c r="P247" s="1" t="s">
        <v>3468</v>
      </c>
      <c r="Q247" s="1" t="s">
        <v>3469</v>
      </c>
      <c r="R247" s="1" t="s">
        <v>3470</v>
      </c>
      <c r="S247" s="1">
        <v>3000</v>
      </c>
      <c r="T247" s="1">
        <v>70115</v>
      </c>
      <c r="U247" s="1">
        <v>73115</v>
      </c>
      <c r="V247" s="1" t="s">
        <v>1141</v>
      </c>
      <c r="W247" s="129" t="s">
        <v>3471</v>
      </c>
      <c r="X247" t="s">
        <v>3472</v>
      </c>
      <c r="Y247" t="s">
        <v>644</v>
      </c>
      <c r="Z247" t="s">
        <v>645</v>
      </c>
    </row>
    <row r="248" spans="1:26" x14ac:dyDescent="0.3">
      <c r="A248" s="1" t="s">
        <v>3473</v>
      </c>
      <c r="B248" s="126" t="s">
        <v>887</v>
      </c>
      <c r="C248" s="54" t="s">
        <v>1335</v>
      </c>
      <c r="D248" s="127" t="s">
        <v>3474</v>
      </c>
      <c r="E248" s="1">
        <v>70399</v>
      </c>
      <c r="F248" s="1">
        <v>37</v>
      </c>
      <c r="G248" s="1">
        <v>2946</v>
      </c>
      <c r="H248" s="1" t="s">
        <v>630</v>
      </c>
      <c r="I248" s="1" t="s">
        <v>3475</v>
      </c>
      <c r="J248" s="1" t="s">
        <v>3476</v>
      </c>
      <c r="K248" s="126" t="s">
        <v>3477</v>
      </c>
      <c r="L248" s="1" t="s">
        <v>1260</v>
      </c>
      <c r="M248" s="131">
        <v>281001</v>
      </c>
      <c r="N248" s="126" t="s">
        <v>894</v>
      </c>
      <c r="O248" s="131">
        <v>9456900786</v>
      </c>
      <c r="P248" s="1" t="s">
        <v>682</v>
      </c>
      <c r="Q248" s="1" t="s">
        <v>3478</v>
      </c>
      <c r="R248" s="1" t="s">
        <v>3479</v>
      </c>
      <c r="S248" s="1">
        <v>3000</v>
      </c>
      <c r="T248" s="1">
        <v>70796</v>
      </c>
      <c r="U248" s="1">
        <v>73796</v>
      </c>
      <c r="V248" s="1" t="s">
        <v>978</v>
      </c>
      <c r="W248" s="129" t="s">
        <v>3480</v>
      </c>
      <c r="X248" t="s">
        <v>3481</v>
      </c>
      <c r="Y248" t="s">
        <v>644</v>
      </c>
      <c r="Z248" t="s">
        <v>645</v>
      </c>
    </row>
    <row r="249" spans="1:26" x14ac:dyDescent="0.3">
      <c r="A249" s="1" t="s">
        <v>3482</v>
      </c>
      <c r="B249" s="126" t="s">
        <v>887</v>
      </c>
      <c r="C249" s="54" t="s">
        <v>2544</v>
      </c>
      <c r="D249" s="127" t="s">
        <v>2172</v>
      </c>
      <c r="E249" s="1">
        <v>22899</v>
      </c>
      <c r="F249" s="1">
        <v>17</v>
      </c>
      <c r="G249" s="1">
        <v>2240</v>
      </c>
      <c r="H249" s="1" t="s">
        <v>630</v>
      </c>
      <c r="I249" s="1" t="s">
        <v>3366</v>
      </c>
      <c r="J249" s="1" t="s">
        <v>3483</v>
      </c>
      <c r="K249" s="126" t="s">
        <v>3484</v>
      </c>
      <c r="L249" s="1" t="s">
        <v>2549</v>
      </c>
      <c r="M249" s="131">
        <v>205152</v>
      </c>
      <c r="N249" s="126" t="s">
        <v>894</v>
      </c>
      <c r="O249" s="131">
        <v>8650454898</v>
      </c>
      <c r="P249" s="1" t="s">
        <v>682</v>
      </c>
      <c r="Q249" s="1" t="s">
        <v>3485</v>
      </c>
      <c r="R249" s="1" t="s">
        <v>3486</v>
      </c>
      <c r="S249" s="1">
        <v>3000</v>
      </c>
      <c r="T249" s="1">
        <v>7159</v>
      </c>
      <c r="U249" s="1">
        <v>10159</v>
      </c>
      <c r="V249" s="1" t="s">
        <v>685</v>
      </c>
      <c r="W249" s="129" t="s">
        <v>3487</v>
      </c>
      <c r="X249" t="s">
        <v>3488</v>
      </c>
      <c r="Y249" t="s">
        <v>644</v>
      </c>
      <c r="Z249" t="s">
        <v>645</v>
      </c>
    </row>
    <row r="250" spans="1:26" x14ac:dyDescent="0.3">
      <c r="A250" s="1" t="s">
        <v>3489</v>
      </c>
      <c r="B250" s="126" t="s">
        <v>1679</v>
      </c>
      <c r="C250" s="54" t="s">
        <v>1335</v>
      </c>
      <c r="D250" s="127" t="s">
        <v>3490</v>
      </c>
      <c r="E250" s="1">
        <v>54000</v>
      </c>
      <c r="F250" s="1">
        <v>28</v>
      </c>
      <c r="G250" s="1">
        <v>2907</v>
      </c>
      <c r="H250" s="1" t="s">
        <v>630</v>
      </c>
      <c r="I250" s="1" t="s">
        <v>3491</v>
      </c>
      <c r="J250" s="1" t="s">
        <v>3492</v>
      </c>
      <c r="K250" s="126" t="s">
        <v>3493</v>
      </c>
      <c r="L250" s="1" t="s">
        <v>1086</v>
      </c>
      <c r="M250" s="131">
        <v>201001</v>
      </c>
      <c r="N250" s="126" t="s">
        <v>894</v>
      </c>
      <c r="O250" s="131">
        <v>9582995582</v>
      </c>
      <c r="P250" s="1" t="s">
        <v>3494</v>
      </c>
      <c r="Q250" s="1" t="s">
        <v>3495</v>
      </c>
      <c r="R250" s="1" t="s">
        <v>3496</v>
      </c>
      <c r="S250" s="1">
        <v>3000</v>
      </c>
      <c r="T250" s="1">
        <v>41782</v>
      </c>
      <c r="U250" s="1">
        <v>44782</v>
      </c>
      <c r="V250" s="1" t="s">
        <v>714</v>
      </c>
      <c r="W250" s="129" t="s">
        <v>3497</v>
      </c>
      <c r="X250" t="s">
        <v>3498</v>
      </c>
      <c r="Y250" t="s">
        <v>644</v>
      </c>
      <c r="Z250" t="s">
        <v>645</v>
      </c>
    </row>
    <row r="251" spans="1:26" x14ac:dyDescent="0.3">
      <c r="A251" s="1" t="s">
        <v>3499</v>
      </c>
      <c r="B251" s="126" t="s">
        <v>887</v>
      </c>
      <c r="C251" s="1" t="s">
        <v>682</v>
      </c>
      <c r="D251" s="127" t="s">
        <v>3500</v>
      </c>
      <c r="E251" s="1">
        <v>33349</v>
      </c>
      <c r="F251" s="1">
        <v>22</v>
      </c>
      <c r="G251" s="1">
        <v>2141</v>
      </c>
      <c r="H251" s="1" t="s">
        <v>630</v>
      </c>
      <c r="I251" s="1" t="s">
        <v>3501</v>
      </c>
      <c r="J251" s="1" t="s">
        <v>3502</v>
      </c>
      <c r="K251" s="126" t="s">
        <v>3503</v>
      </c>
      <c r="L251" s="1" t="s">
        <v>892</v>
      </c>
      <c r="M251" s="131">
        <v>282009</v>
      </c>
      <c r="N251" s="126" t="s">
        <v>894</v>
      </c>
      <c r="O251" s="131">
        <v>8958551920</v>
      </c>
      <c r="P251" s="1" t="s">
        <v>3504</v>
      </c>
      <c r="Q251" s="1" t="s">
        <v>3505</v>
      </c>
      <c r="R251" s="1" t="s">
        <v>3506</v>
      </c>
      <c r="S251" s="1">
        <v>3000</v>
      </c>
      <c r="T251" s="1">
        <v>8801</v>
      </c>
      <c r="U251" s="1">
        <v>11801</v>
      </c>
      <c r="V251" s="1" t="s">
        <v>685</v>
      </c>
      <c r="W251" s="129" t="s">
        <v>3507</v>
      </c>
      <c r="X251" t="s">
        <v>3508</v>
      </c>
      <c r="Y251" t="s">
        <v>644</v>
      </c>
      <c r="Z251" t="s">
        <v>645</v>
      </c>
    </row>
    <row r="252" spans="1:26" x14ac:dyDescent="0.3">
      <c r="A252" s="1" t="s">
        <v>3509</v>
      </c>
      <c r="B252" s="126" t="s">
        <v>93</v>
      </c>
      <c r="C252" s="54" t="s">
        <v>689</v>
      </c>
      <c r="D252" s="127" t="s">
        <v>3510</v>
      </c>
      <c r="E252" s="1">
        <v>92149</v>
      </c>
      <c r="F252" s="1">
        <v>29</v>
      </c>
      <c r="G252" s="1">
        <v>3850</v>
      </c>
      <c r="H252" s="1" t="s">
        <v>630</v>
      </c>
      <c r="I252" s="1" t="s">
        <v>3511</v>
      </c>
      <c r="J252" s="1" t="s">
        <v>3512</v>
      </c>
      <c r="K252" s="126" t="s">
        <v>3513</v>
      </c>
      <c r="L252" s="1" t="s">
        <v>1427</v>
      </c>
      <c r="M252" s="131">
        <v>333028</v>
      </c>
      <c r="N252" s="126" t="s">
        <v>894</v>
      </c>
      <c r="O252" s="131">
        <v>9079789009</v>
      </c>
      <c r="P252" s="1" t="s">
        <v>3514</v>
      </c>
      <c r="Q252" s="1" t="s">
        <v>3515</v>
      </c>
      <c r="R252" s="1" t="s">
        <v>3516</v>
      </c>
      <c r="S252" s="1">
        <v>3000</v>
      </c>
      <c r="T252" s="1">
        <v>0</v>
      </c>
      <c r="U252" s="1">
        <v>3000</v>
      </c>
      <c r="V252" s="1" t="s">
        <v>1193</v>
      </c>
      <c r="W252" s="129" t="s">
        <v>3517</v>
      </c>
      <c r="X252" t="s">
        <v>3518</v>
      </c>
      <c r="Y252" t="s">
        <v>644</v>
      </c>
      <c r="Z252" t="s">
        <v>645</v>
      </c>
    </row>
    <row r="253" spans="1:26" x14ac:dyDescent="0.3">
      <c r="A253" s="1" t="s">
        <v>3519</v>
      </c>
      <c r="B253" s="126" t="s">
        <v>1094</v>
      </c>
      <c r="C253" s="54" t="s">
        <v>689</v>
      </c>
      <c r="D253" s="127" t="s">
        <v>3520</v>
      </c>
      <c r="E253" s="1">
        <v>45508</v>
      </c>
      <c r="F253" s="1">
        <v>18</v>
      </c>
      <c r="G253" s="1">
        <v>3162</v>
      </c>
      <c r="H253" s="1" t="s">
        <v>630</v>
      </c>
      <c r="I253" s="1" t="s">
        <v>3521</v>
      </c>
      <c r="J253" s="1" t="s">
        <v>3522</v>
      </c>
      <c r="K253" s="126" t="s">
        <v>3523</v>
      </c>
      <c r="L253" s="1"/>
      <c r="M253" s="131">
        <v>482126</v>
      </c>
      <c r="N253" s="126" t="s">
        <v>894</v>
      </c>
      <c r="O253" s="131">
        <v>7580903344</v>
      </c>
      <c r="P253" s="1" t="s">
        <v>682</v>
      </c>
      <c r="Q253" s="1" t="s">
        <v>3524</v>
      </c>
      <c r="R253" s="1" t="s">
        <v>3525</v>
      </c>
      <c r="S253" s="1">
        <v>3000</v>
      </c>
      <c r="T253" s="1">
        <v>79569</v>
      </c>
      <c r="U253" s="1">
        <v>82569</v>
      </c>
      <c r="V253" s="1" t="s">
        <v>1005</v>
      </c>
      <c r="W253" s="129" t="s">
        <v>3526</v>
      </c>
      <c r="X253" t="s">
        <v>3527</v>
      </c>
      <c r="Y253" t="s">
        <v>644</v>
      </c>
      <c r="Z253" t="s">
        <v>645</v>
      </c>
    </row>
    <row r="254" spans="1:26" x14ac:dyDescent="0.3">
      <c r="A254" s="1" t="s">
        <v>3528</v>
      </c>
      <c r="B254" s="126" t="s">
        <v>1094</v>
      </c>
      <c r="C254" s="54" t="s">
        <v>2544</v>
      </c>
      <c r="D254" s="127" t="s">
        <v>1487</v>
      </c>
      <c r="E254" s="1">
        <v>70000</v>
      </c>
      <c r="F254" s="1">
        <v>36</v>
      </c>
      <c r="G254" s="1">
        <v>2867</v>
      </c>
      <c r="H254" s="1" t="s">
        <v>630</v>
      </c>
      <c r="I254" s="1" t="s">
        <v>3529</v>
      </c>
      <c r="J254" s="1" t="s">
        <v>2500</v>
      </c>
      <c r="K254" s="126" t="s">
        <v>3530</v>
      </c>
      <c r="L254" s="1"/>
      <c r="M254" s="131">
        <v>464886</v>
      </c>
      <c r="N254" s="126" t="s">
        <v>894</v>
      </c>
      <c r="O254" s="131">
        <v>8103881404</v>
      </c>
      <c r="P254" s="1" t="s">
        <v>3531</v>
      </c>
      <c r="Q254" s="1" t="s">
        <v>3532</v>
      </c>
      <c r="R254" s="1" t="s">
        <v>3533</v>
      </c>
      <c r="S254" s="1">
        <v>3000</v>
      </c>
      <c r="T254" s="1">
        <v>166582</v>
      </c>
      <c r="U254" s="1">
        <v>169582</v>
      </c>
      <c r="V254" s="1" t="s">
        <v>1675</v>
      </c>
      <c r="W254" s="129" t="s">
        <v>3534</v>
      </c>
      <c r="X254" t="s">
        <v>3535</v>
      </c>
      <c r="Y254" t="s">
        <v>644</v>
      </c>
      <c r="Z254" t="s">
        <v>645</v>
      </c>
    </row>
    <row r="255" spans="1:26" x14ac:dyDescent="0.3">
      <c r="A255" s="1" t="s">
        <v>3536</v>
      </c>
      <c r="B255" s="126" t="s">
        <v>887</v>
      </c>
      <c r="C255" s="54" t="s">
        <v>2254</v>
      </c>
      <c r="D255" s="127" t="s">
        <v>3537</v>
      </c>
      <c r="E255" s="1">
        <v>50099</v>
      </c>
      <c r="F255" s="1">
        <v>24</v>
      </c>
      <c r="G255" s="1">
        <v>2677</v>
      </c>
      <c r="H255" s="1" t="s">
        <v>630</v>
      </c>
      <c r="I255" s="1" t="s">
        <v>3538</v>
      </c>
      <c r="J255" s="1" t="s">
        <v>3539</v>
      </c>
      <c r="K255" s="126" t="s">
        <v>3540</v>
      </c>
      <c r="L255" s="1" t="s">
        <v>3379</v>
      </c>
      <c r="M255" s="131">
        <v>284003</v>
      </c>
      <c r="N255" s="126" t="s">
        <v>894</v>
      </c>
      <c r="O255" s="131">
        <v>9555756120</v>
      </c>
      <c r="P255" s="1" t="s">
        <v>3541</v>
      </c>
      <c r="Q255" s="1" t="s">
        <v>3542</v>
      </c>
      <c r="R255" s="1" t="s">
        <v>3543</v>
      </c>
      <c r="S255" s="1">
        <v>3000</v>
      </c>
      <c r="T255" s="1">
        <v>24699</v>
      </c>
      <c r="U255" s="1">
        <v>27699</v>
      </c>
      <c r="V255" s="1" t="s">
        <v>2157</v>
      </c>
      <c r="W255" s="129" t="s">
        <v>3544</v>
      </c>
      <c r="X255" t="s">
        <v>3545</v>
      </c>
      <c r="Y255" t="s">
        <v>644</v>
      </c>
      <c r="Z255" t="s">
        <v>645</v>
      </c>
    </row>
    <row r="256" spans="1:26" x14ac:dyDescent="0.3">
      <c r="A256" s="1" t="s">
        <v>3546</v>
      </c>
      <c r="B256" s="126" t="s">
        <v>93</v>
      </c>
      <c r="C256" s="1" t="s">
        <v>682</v>
      </c>
      <c r="D256" s="127" t="s">
        <v>3547</v>
      </c>
      <c r="E256" s="1">
        <v>62048</v>
      </c>
      <c r="F256" s="1">
        <v>29</v>
      </c>
      <c r="G256" s="1">
        <v>3005</v>
      </c>
      <c r="H256" s="1" t="s">
        <v>630</v>
      </c>
      <c r="I256" s="1" t="s">
        <v>3548</v>
      </c>
      <c r="J256" s="1" t="s">
        <v>3549</v>
      </c>
      <c r="K256" s="126" t="s">
        <v>3550</v>
      </c>
      <c r="L256" s="1" t="s">
        <v>1784</v>
      </c>
      <c r="M256" s="131">
        <v>301001</v>
      </c>
      <c r="N256" s="126" t="s">
        <v>894</v>
      </c>
      <c r="O256" s="131">
        <v>8949775339</v>
      </c>
      <c r="P256" s="1" t="s">
        <v>682</v>
      </c>
      <c r="Q256" s="1" t="s">
        <v>3551</v>
      </c>
      <c r="R256" s="1" t="s">
        <v>3552</v>
      </c>
      <c r="S256" s="1">
        <v>3000</v>
      </c>
      <c r="T256" s="1">
        <v>27165</v>
      </c>
      <c r="U256" s="1">
        <v>30165</v>
      </c>
      <c r="V256" s="1" t="s">
        <v>728</v>
      </c>
      <c r="W256" s="129" t="s">
        <v>3553</v>
      </c>
      <c r="X256" t="s">
        <v>3554</v>
      </c>
      <c r="Y256" t="s">
        <v>644</v>
      </c>
      <c r="Z256" t="s">
        <v>645</v>
      </c>
    </row>
    <row r="257" spans="1:26" x14ac:dyDescent="0.3">
      <c r="A257" s="1" t="s">
        <v>3555</v>
      </c>
      <c r="B257" s="126" t="s">
        <v>887</v>
      </c>
      <c r="C257" s="1" t="s">
        <v>682</v>
      </c>
      <c r="D257" s="127" t="s">
        <v>2484</v>
      </c>
      <c r="E257" s="1">
        <v>43264</v>
      </c>
      <c r="F257" s="1">
        <v>24</v>
      </c>
      <c r="G257" s="1">
        <v>2211</v>
      </c>
      <c r="H257" s="1" t="s">
        <v>630</v>
      </c>
      <c r="I257" s="1" t="s">
        <v>3556</v>
      </c>
      <c r="J257" s="1" t="s">
        <v>3557</v>
      </c>
      <c r="K257" s="126" t="s">
        <v>3558</v>
      </c>
      <c r="L257" s="1" t="s">
        <v>1260</v>
      </c>
      <c r="M257" s="131">
        <v>204101</v>
      </c>
      <c r="N257" s="126" t="s">
        <v>894</v>
      </c>
      <c r="O257" s="131">
        <v>9627688063</v>
      </c>
      <c r="P257" s="1" t="s">
        <v>3559</v>
      </c>
      <c r="Q257" s="1" t="s">
        <v>3560</v>
      </c>
      <c r="R257" s="1" t="s">
        <v>3561</v>
      </c>
      <c r="S257" s="1">
        <v>0</v>
      </c>
      <c r="T257" s="1">
        <v>94451</v>
      </c>
      <c r="U257" s="1">
        <v>94451</v>
      </c>
      <c r="V257" s="1" t="s">
        <v>805</v>
      </c>
      <c r="W257" s="129" t="s">
        <v>3562</v>
      </c>
      <c r="X257" t="s">
        <v>3563</v>
      </c>
      <c r="Y257" t="s">
        <v>644</v>
      </c>
      <c r="Z257" t="s">
        <v>645</v>
      </c>
    </row>
    <row r="258" spans="1:26" x14ac:dyDescent="0.3">
      <c r="A258" s="1" t="s">
        <v>3564</v>
      </c>
      <c r="B258" s="126" t="s">
        <v>1094</v>
      </c>
      <c r="C258" s="54" t="s">
        <v>689</v>
      </c>
      <c r="D258" s="127" t="s">
        <v>3565</v>
      </c>
      <c r="E258" s="1">
        <v>54039</v>
      </c>
      <c r="F258" s="1">
        <v>19</v>
      </c>
      <c r="G258" s="1">
        <v>3450</v>
      </c>
      <c r="H258" s="1" t="s">
        <v>630</v>
      </c>
      <c r="I258" s="1" t="s">
        <v>3566</v>
      </c>
      <c r="J258" s="1" t="s">
        <v>3567</v>
      </c>
      <c r="K258" s="126" t="s">
        <v>3568</v>
      </c>
      <c r="L258" s="1" t="s">
        <v>1415</v>
      </c>
      <c r="M258" s="131">
        <v>486882</v>
      </c>
      <c r="N258" s="126" t="s">
        <v>894</v>
      </c>
      <c r="O258" s="131">
        <v>7855083748</v>
      </c>
      <c r="P258" s="1" t="s">
        <v>3569</v>
      </c>
      <c r="Q258" s="1" t="s">
        <v>3570</v>
      </c>
      <c r="R258" s="1" t="s">
        <v>3571</v>
      </c>
      <c r="S258" s="1">
        <v>3000</v>
      </c>
      <c r="T258" s="1">
        <v>42676</v>
      </c>
      <c r="U258" s="1">
        <v>45676</v>
      </c>
      <c r="V258" s="1" t="s">
        <v>2157</v>
      </c>
      <c r="W258" s="129" t="s">
        <v>3572</v>
      </c>
      <c r="X258" t="s">
        <v>3573</v>
      </c>
      <c r="Y258" t="s">
        <v>644</v>
      </c>
      <c r="Z258" t="s">
        <v>645</v>
      </c>
    </row>
    <row r="259" spans="1:26" x14ac:dyDescent="0.3">
      <c r="A259" s="1" t="s">
        <v>3574</v>
      </c>
      <c r="B259" s="126" t="s">
        <v>887</v>
      </c>
      <c r="C259" s="54" t="s">
        <v>2544</v>
      </c>
      <c r="D259" s="127" t="s">
        <v>3575</v>
      </c>
      <c r="E259" s="1">
        <v>26000</v>
      </c>
      <c r="F259" s="1">
        <v>18</v>
      </c>
      <c r="G259" s="1">
        <v>1737</v>
      </c>
      <c r="H259" s="1" t="s">
        <v>630</v>
      </c>
      <c r="I259" s="1" t="s">
        <v>3576</v>
      </c>
      <c r="J259" s="1" t="s">
        <v>3577</v>
      </c>
      <c r="K259" s="126" t="s">
        <v>3578</v>
      </c>
      <c r="L259" s="1" t="s">
        <v>2400</v>
      </c>
      <c r="M259" s="131">
        <v>281001</v>
      </c>
      <c r="N259" s="126" t="s">
        <v>894</v>
      </c>
      <c r="O259" s="131">
        <v>9720027900</v>
      </c>
      <c r="P259" s="1" t="s">
        <v>3579</v>
      </c>
      <c r="Q259" s="1" t="s">
        <v>3580</v>
      </c>
      <c r="R259" s="1" t="s">
        <v>3581</v>
      </c>
      <c r="S259" s="1">
        <v>3000</v>
      </c>
      <c r="T259" s="1">
        <v>91284</v>
      </c>
      <c r="U259" s="1">
        <v>94284</v>
      </c>
      <c r="V259" s="1" t="s">
        <v>2973</v>
      </c>
      <c r="W259" s="129" t="s">
        <v>3582</v>
      </c>
      <c r="X259" t="s">
        <v>3583</v>
      </c>
      <c r="Y259" t="s">
        <v>644</v>
      </c>
      <c r="Z259" t="s">
        <v>645</v>
      </c>
    </row>
    <row r="260" spans="1:26" x14ac:dyDescent="0.3">
      <c r="A260" s="1" t="s">
        <v>3584</v>
      </c>
      <c r="B260" s="126" t="s">
        <v>93</v>
      </c>
      <c r="C260" s="54" t="s">
        <v>2483</v>
      </c>
      <c r="D260" s="127" t="s">
        <v>3585</v>
      </c>
      <c r="E260" s="1">
        <v>34400</v>
      </c>
      <c r="F260" s="1">
        <v>30</v>
      </c>
      <c r="G260" s="1">
        <v>1517</v>
      </c>
      <c r="H260" s="1" t="s">
        <v>630</v>
      </c>
      <c r="I260" s="1" t="s">
        <v>3586</v>
      </c>
      <c r="J260" s="1" t="s">
        <v>3587</v>
      </c>
      <c r="K260" s="126" t="s">
        <v>3588</v>
      </c>
      <c r="L260" s="1" t="s">
        <v>2066</v>
      </c>
      <c r="M260" s="131">
        <v>342001</v>
      </c>
      <c r="N260" s="126" t="s">
        <v>894</v>
      </c>
      <c r="O260" s="131">
        <v>9772165021</v>
      </c>
      <c r="P260" s="1" t="s">
        <v>3589</v>
      </c>
      <c r="Q260" s="1" t="s">
        <v>3590</v>
      </c>
      <c r="R260" s="1" t="s">
        <v>3591</v>
      </c>
      <c r="S260" s="1">
        <v>3000</v>
      </c>
      <c r="T260" s="1">
        <v>183758</v>
      </c>
      <c r="U260" s="1">
        <v>186758</v>
      </c>
      <c r="V260" s="1" t="s">
        <v>1105</v>
      </c>
      <c r="W260" s="129" t="s">
        <v>3592</v>
      </c>
      <c r="X260" t="s">
        <v>3593</v>
      </c>
      <c r="Y260" t="s">
        <v>644</v>
      </c>
      <c r="Z260" t="s">
        <v>645</v>
      </c>
    </row>
    <row r="261" spans="1:26" x14ac:dyDescent="0.3">
      <c r="A261" s="1" t="s">
        <v>3594</v>
      </c>
      <c r="B261" s="126" t="s">
        <v>887</v>
      </c>
      <c r="C261" s="54" t="s">
        <v>2254</v>
      </c>
      <c r="D261" s="127" t="s">
        <v>2062</v>
      </c>
      <c r="E261" s="1">
        <v>53848</v>
      </c>
      <c r="F261" s="1">
        <v>28</v>
      </c>
      <c r="G261" s="1">
        <v>2792</v>
      </c>
      <c r="H261" s="1" t="s">
        <v>630</v>
      </c>
      <c r="I261" s="1" t="s">
        <v>3595</v>
      </c>
      <c r="J261" s="1" t="s">
        <v>3596</v>
      </c>
      <c r="K261" s="126" t="s">
        <v>3597</v>
      </c>
      <c r="L261" s="1" t="s">
        <v>892</v>
      </c>
      <c r="M261" s="131">
        <v>283119</v>
      </c>
      <c r="N261" s="126" t="s">
        <v>894</v>
      </c>
      <c r="O261" s="131">
        <v>6398013371</v>
      </c>
      <c r="P261" s="1" t="s">
        <v>3598</v>
      </c>
      <c r="Q261" s="1" t="s">
        <v>3599</v>
      </c>
      <c r="R261" s="1" t="s">
        <v>3600</v>
      </c>
      <c r="S261" s="1">
        <v>3000</v>
      </c>
      <c r="T261" s="1">
        <v>27785</v>
      </c>
      <c r="U261" s="1">
        <v>30785</v>
      </c>
      <c r="V261" s="1" t="s">
        <v>1019</v>
      </c>
      <c r="W261" s="129" t="s">
        <v>3601</v>
      </c>
      <c r="X261" t="s">
        <v>3602</v>
      </c>
      <c r="Y261" t="s">
        <v>644</v>
      </c>
      <c r="Z261" t="s">
        <v>645</v>
      </c>
    </row>
    <row r="262" spans="1:26" x14ac:dyDescent="0.3">
      <c r="A262" s="1" t="s">
        <v>3603</v>
      </c>
      <c r="B262" s="126" t="s">
        <v>1094</v>
      </c>
      <c r="C262" s="54" t="s">
        <v>689</v>
      </c>
      <c r="D262" s="127" t="s">
        <v>3604</v>
      </c>
      <c r="E262" s="1">
        <v>65689</v>
      </c>
      <c r="F262" s="1">
        <v>30</v>
      </c>
      <c r="G262" s="1">
        <v>3011</v>
      </c>
      <c r="H262" s="1" t="s">
        <v>630</v>
      </c>
      <c r="I262" s="1" t="s">
        <v>3605</v>
      </c>
      <c r="J262" s="1" t="s">
        <v>3606</v>
      </c>
      <c r="K262" s="126" t="s">
        <v>3607</v>
      </c>
      <c r="L262" s="1" t="s">
        <v>2668</v>
      </c>
      <c r="M262" s="131">
        <v>481102</v>
      </c>
      <c r="N262" s="126" t="s">
        <v>894</v>
      </c>
      <c r="O262" s="131">
        <v>7723956775</v>
      </c>
      <c r="P262" s="1" t="s">
        <v>682</v>
      </c>
      <c r="Q262" s="1" t="s">
        <v>3608</v>
      </c>
      <c r="R262" s="1" t="s">
        <v>3609</v>
      </c>
      <c r="S262" s="1">
        <v>3000</v>
      </c>
      <c r="T262" s="1">
        <v>87218</v>
      </c>
      <c r="U262" s="1">
        <v>90218</v>
      </c>
      <c r="V262" s="1" t="s">
        <v>1345</v>
      </c>
      <c r="W262" s="129" t="s">
        <v>3610</v>
      </c>
      <c r="X262" t="s">
        <v>3611</v>
      </c>
      <c r="Y262" t="s">
        <v>644</v>
      </c>
      <c r="Z262" t="s">
        <v>645</v>
      </c>
    </row>
    <row r="263" spans="1:26" x14ac:dyDescent="0.3">
      <c r="A263" s="126" t="s">
        <v>3612</v>
      </c>
      <c r="B263" s="126" t="s">
        <v>3613</v>
      </c>
      <c r="C263" s="54" t="s">
        <v>2757</v>
      </c>
      <c r="D263" s="127" t="s">
        <v>3614</v>
      </c>
      <c r="E263" s="126">
        <v>22000</v>
      </c>
      <c r="F263" s="126">
        <v>18</v>
      </c>
      <c r="G263" s="126">
        <v>1478</v>
      </c>
      <c r="H263" s="126" t="s">
        <v>630</v>
      </c>
      <c r="I263" s="126" t="s">
        <v>3615</v>
      </c>
      <c r="J263" s="126" t="s">
        <v>3616</v>
      </c>
      <c r="K263" s="126" t="s">
        <v>3617</v>
      </c>
      <c r="L263" s="126" t="s">
        <v>3618</v>
      </c>
      <c r="M263" s="128" t="s">
        <v>3619</v>
      </c>
      <c r="N263" s="126" t="s">
        <v>3620</v>
      </c>
      <c r="O263" s="128" t="s">
        <v>3621</v>
      </c>
      <c r="P263" s="126" t="s">
        <v>3622</v>
      </c>
      <c r="Q263" s="126" t="s">
        <v>3623</v>
      </c>
      <c r="R263" s="126" t="s">
        <v>3624</v>
      </c>
      <c r="S263" s="126">
        <v>3000</v>
      </c>
      <c r="T263" s="126">
        <v>59184</v>
      </c>
      <c r="U263" s="126">
        <v>62184</v>
      </c>
      <c r="V263" s="126" t="s">
        <v>714</v>
      </c>
      <c r="W263" s="129" t="s">
        <v>3625</v>
      </c>
      <c r="X263" t="s">
        <v>3626</v>
      </c>
      <c r="Y263" t="s">
        <v>644</v>
      </c>
      <c r="Z263" t="s">
        <v>645</v>
      </c>
    </row>
    <row r="264" spans="1:26" x14ac:dyDescent="0.3">
      <c r="A264" s="126" t="s">
        <v>3627</v>
      </c>
      <c r="B264" s="126" t="s">
        <v>3613</v>
      </c>
      <c r="C264" s="54" t="s">
        <v>628</v>
      </c>
      <c r="D264" s="127" t="s">
        <v>3628</v>
      </c>
      <c r="E264" s="126">
        <v>184250</v>
      </c>
      <c r="F264" s="126">
        <v>61</v>
      </c>
      <c r="G264" s="126">
        <v>5606</v>
      </c>
      <c r="H264" s="126" t="s">
        <v>630</v>
      </c>
      <c r="I264" s="126" t="s">
        <v>3629</v>
      </c>
      <c r="J264" s="126" t="s">
        <v>3630</v>
      </c>
      <c r="K264" s="126" t="s">
        <v>3631</v>
      </c>
      <c r="L264" s="126" t="s">
        <v>3632</v>
      </c>
      <c r="M264" s="128" t="s">
        <v>3633</v>
      </c>
      <c r="N264" s="126" t="s">
        <v>3620</v>
      </c>
      <c r="O264" s="128" t="s">
        <v>3634</v>
      </c>
      <c r="P264" s="126" t="s">
        <v>3635</v>
      </c>
      <c r="Q264" s="126" t="s">
        <v>3636</v>
      </c>
      <c r="R264" s="126" t="s">
        <v>3637</v>
      </c>
      <c r="S264" s="126">
        <v>15000</v>
      </c>
      <c r="T264" s="126">
        <v>159140</v>
      </c>
      <c r="U264" s="126">
        <v>174140</v>
      </c>
      <c r="V264" s="126" t="s">
        <v>3638</v>
      </c>
      <c r="W264" s="129" t="s">
        <v>3639</v>
      </c>
      <c r="X264" t="s">
        <v>3640</v>
      </c>
      <c r="Y264" t="s">
        <v>644</v>
      </c>
      <c r="Z264" t="s">
        <v>645</v>
      </c>
    </row>
    <row r="265" spans="1:26" x14ac:dyDescent="0.3">
      <c r="A265" s="126" t="s">
        <v>3641</v>
      </c>
      <c r="B265" s="126" t="s">
        <v>3613</v>
      </c>
      <c r="C265" s="54" t="s">
        <v>702</v>
      </c>
      <c r="D265" s="127" t="s">
        <v>2446</v>
      </c>
      <c r="E265" s="126">
        <v>63500</v>
      </c>
      <c r="F265" s="126">
        <v>36</v>
      </c>
      <c r="G265" s="126">
        <v>2479</v>
      </c>
      <c r="H265" s="126" t="s">
        <v>630</v>
      </c>
      <c r="I265" s="126" t="s">
        <v>3642</v>
      </c>
      <c r="J265" s="126" t="s">
        <v>3643</v>
      </c>
      <c r="K265" s="126" t="s">
        <v>3644</v>
      </c>
      <c r="L265" s="126" t="s">
        <v>3632</v>
      </c>
      <c r="M265" s="128" t="s">
        <v>3645</v>
      </c>
      <c r="N265" s="126" t="s">
        <v>3620</v>
      </c>
      <c r="O265" s="128" t="s">
        <v>3646</v>
      </c>
      <c r="P265" s="126" t="s">
        <v>3647</v>
      </c>
      <c r="Q265" s="126" t="s">
        <v>3648</v>
      </c>
      <c r="R265" s="126" t="s">
        <v>3649</v>
      </c>
      <c r="S265" s="126">
        <v>3000</v>
      </c>
      <c r="T265" s="126">
        <v>69761</v>
      </c>
      <c r="U265" s="126">
        <v>72761</v>
      </c>
      <c r="V265" s="126" t="s">
        <v>3650</v>
      </c>
      <c r="W265" s="129" t="s">
        <v>3651</v>
      </c>
      <c r="X265" t="s">
        <v>3652</v>
      </c>
      <c r="Y265" t="s">
        <v>644</v>
      </c>
      <c r="Z265" t="s">
        <v>645</v>
      </c>
    </row>
    <row r="266" spans="1:26" x14ac:dyDescent="0.3">
      <c r="A266" s="126" t="s">
        <v>3653</v>
      </c>
      <c r="B266" s="126" t="s">
        <v>3613</v>
      </c>
      <c r="C266" s="54" t="s">
        <v>2857</v>
      </c>
      <c r="D266" s="127" t="s">
        <v>3654</v>
      </c>
      <c r="E266" s="126">
        <v>70000</v>
      </c>
      <c r="F266" s="126">
        <v>47</v>
      </c>
      <c r="G266" s="126">
        <v>2732</v>
      </c>
      <c r="H266" s="126" t="s">
        <v>630</v>
      </c>
      <c r="I266" s="126" t="s">
        <v>3655</v>
      </c>
      <c r="J266" s="126" t="s">
        <v>3656</v>
      </c>
      <c r="K266" s="126" t="s">
        <v>3657</v>
      </c>
      <c r="L266" s="126" t="s">
        <v>3658</v>
      </c>
      <c r="M266" s="128" t="s">
        <v>3659</v>
      </c>
      <c r="N266" s="126" t="s">
        <v>3620</v>
      </c>
      <c r="O266" s="128" t="s">
        <v>3660</v>
      </c>
      <c r="P266" s="126" t="s">
        <v>3661</v>
      </c>
      <c r="Q266" s="126" t="s">
        <v>3662</v>
      </c>
      <c r="R266" s="126" t="s">
        <v>3663</v>
      </c>
      <c r="S266" s="126">
        <v>3000</v>
      </c>
      <c r="T266" s="126">
        <v>47816</v>
      </c>
      <c r="U266" s="126">
        <v>50816</v>
      </c>
      <c r="V266" s="126" t="s">
        <v>1318</v>
      </c>
      <c r="W266" s="129" t="s">
        <v>3664</v>
      </c>
      <c r="X266" t="s">
        <v>3665</v>
      </c>
      <c r="Y266" t="s">
        <v>644</v>
      </c>
      <c r="Z266" t="s">
        <v>645</v>
      </c>
    </row>
    <row r="267" spans="1:26" x14ac:dyDescent="0.3">
      <c r="A267" s="126" t="s">
        <v>3666</v>
      </c>
      <c r="B267" s="126" t="s">
        <v>3613</v>
      </c>
      <c r="C267" s="54" t="s">
        <v>628</v>
      </c>
      <c r="D267" s="127" t="s">
        <v>3667</v>
      </c>
      <c r="E267" s="126">
        <v>76539</v>
      </c>
      <c r="F267" s="126">
        <v>36</v>
      </c>
      <c r="G267" s="126">
        <v>2924</v>
      </c>
      <c r="H267" s="126" t="s">
        <v>630</v>
      </c>
      <c r="I267" s="126" t="s">
        <v>3668</v>
      </c>
      <c r="J267" s="126" t="s">
        <v>3669</v>
      </c>
      <c r="K267" s="126" t="s">
        <v>3670</v>
      </c>
      <c r="L267" s="126" t="s">
        <v>3632</v>
      </c>
      <c r="M267" s="128" t="s">
        <v>3671</v>
      </c>
      <c r="N267" s="126" t="s">
        <v>3620</v>
      </c>
      <c r="O267" s="128" t="s">
        <v>3672</v>
      </c>
      <c r="P267" s="126" t="s">
        <v>3673</v>
      </c>
      <c r="Q267" s="126" t="s">
        <v>3674</v>
      </c>
      <c r="R267" s="126" t="s">
        <v>3675</v>
      </c>
      <c r="S267" s="126">
        <v>3000</v>
      </c>
      <c r="T267" s="126">
        <v>78100</v>
      </c>
      <c r="U267" s="126">
        <v>81100</v>
      </c>
      <c r="V267" s="126" t="s">
        <v>2312</v>
      </c>
      <c r="W267" s="129" t="s">
        <v>3676</v>
      </c>
      <c r="X267" t="s">
        <v>3677</v>
      </c>
      <c r="Y267" t="s">
        <v>644</v>
      </c>
      <c r="Z267" t="s">
        <v>645</v>
      </c>
    </row>
    <row r="268" spans="1:26" x14ac:dyDescent="0.3">
      <c r="A268" s="126" t="s">
        <v>3678</v>
      </c>
      <c r="B268" s="126" t="s">
        <v>3613</v>
      </c>
      <c r="C268" s="54" t="s">
        <v>2544</v>
      </c>
      <c r="D268" s="127" t="s">
        <v>3679</v>
      </c>
      <c r="E268" s="126">
        <v>56200</v>
      </c>
      <c r="F268" s="126">
        <v>29</v>
      </c>
      <c r="G268" s="126">
        <v>3314</v>
      </c>
      <c r="H268" s="126" t="s">
        <v>630</v>
      </c>
      <c r="I268" s="126" t="s">
        <v>3680</v>
      </c>
      <c r="J268" s="126" t="s">
        <v>3681</v>
      </c>
      <c r="K268" s="126" t="s">
        <v>3682</v>
      </c>
      <c r="L268" s="126" t="s">
        <v>3683</v>
      </c>
      <c r="M268" s="128" t="s">
        <v>3684</v>
      </c>
      <c r="N268" s="126" t="s">
        <v>3620</v>
      </c>
      <c r="O268" s="128" t="s">
        <v>3685</v>
      </c>
      <c r="P268" s="126" t="s">
        <v>3686</v>
      </c>
      <c r="Q268" s="126" t="s">
        <v>3687</v>
      </c>
      <c r="R268" s="126" t="s">
        <v>3688</v>
      </c>
      <c r="S268" s="126">
        <v>3000</v>
      </c>
      <c r="T268" s="126">
        <v>14312</v>
      </c>
      <c r="U268" s="126">
        <v>17312</v>
      </c>
      <c r="V268" s="126" t="s">
        <v>698</v>
      </c>
      <c r="W268" s="129" t="s">
        <v>3689</v>
      </c>
      <c r="X268" t="s">
        <v>3690</v>
      </c>
      <c r="Y268" t="s">
        <v>644</v>
      </c>
      <c r="Z268" t="s">
        <v>645</v>
      </c>
    </row>
    <row r="269" spans="1:26" x14ac:dyDescent="0.3">
      <c r="A269" s="126" t="s">
        <v>3691</v>
      </c>
      <c r="B269" s="126" t="s">
        <v>3613</v>
      </c>
      <c r="C269" s="54" t="s">
        <v>2857</v>
      </c>
      <c r="D269" s="127" t="s">
        <v>3692</v>
      </c>
      <c r="E269" s="126">
        <v>51324</v>
      </c>
      <c r="F269" s="126">
        <v>24</v>
      </c>
      <c r="G269" s="126">
        <v>2887</v>
      </c>
      <c r="H269" s="126" t="s">
        <v>630</v>
      </c>
      <c r="I269" s="126" t="s">
        <v>3693</v>
      </c>
      <c r="J269" s="126" t="s">
        <v>3694</v>
      </c>
      <c r="K269" s="126" t="s">
        <v>3695</v>
      </c>
      <c r="L269" s="126" t="s">
        <v>3696</v>
      </c>
      <c r="M269" s="128" t="s">
        <v>3697</v>
      </c>
      <c r="N269" s="126" t="s">
        <v>3620</v>
      </c>
      <c r="O269" s="128" t="s">
        <v>3698</v>
      </c>
      <c r="P269" s="126" t="s">
        <v>3699</v>
      </c>
      <c r="Q269" s="126" t="s">
        <v>3700</v>
      </c>
      <c r="R269" s="126" t="s">
        <v>3701</v>
      </c>
      <c r="S269" s="126">
        <v>3000</v>
      </c>
      <c r="T269" s="126">
        <v>39035</v>
      </c>
      <c r="U269" s="126">
        <v>42035</v>
      </c>
      <c r="V269" s="126" t="s">
        <v>1078</v>
      </c>
      <c r="W269" s="129" t="s">
        <v>3702</v>
      </c>
      <c r="X269" t="s">
        <v>3703</v>
      </c>
      <c r="Y269" t="s">
        <v>644</v>
      </c>
      <c r="Z269" t="s">
        <v>645</v>
      </c>
    </row>
    <row r="270" spans="1:26" x14ac:dyDescent="0.3">
      <c r="A270" s="126" t="s">
        <v>3704</v>
      </c>
      <c r="B270" s="126" t="s">
        <v>3613</v>
      </c>
      <c r="C270" s="54" t="s">
        <v>1335</v>
      </c>
      <c r="D270" s="127" t="s">
        <v>2806</v>
      </c>
      <c r="E270" s="126">
        <v>55000</v>
      </c>
      <c r="F270" s="126">
        <v>56</v>
      </c>
      <c r="G270" s="126">
        <v>2361</v>
      </c>
      <c r="H270" s="126" t="s">
        <v>630</v>
      </c>
      <c r="I270" s="126" t="s">
        <v>3705</v>
      </c>
      <c r="J270" s="126" t="s">
        <v>3706</v>
      </c>
      <c r="K270" s="126" t="s">
        <v>3707</v>
      </c>
      <c r="L270" s="126" t="s">
        <v>3708</v>
      </c>
      <c r="M270" s="128" t="s">
        <v>3709</v>
      </c>
      <c r="N270" s="126" t="s">
        <v>3620</v>
      </c>
      <c r="O270" s="128" t="s">
        <v>3710</v>
      </c>
      <c r="P270" s="126" t="s">
        <v>3711</v>
      </c>
      <c r="Q270" s="126" t="s">
        <v>3712</v>
      </c>
      <c r="R270" s="126" t="s">
        <v>3713</v>
      </c>
      <c r="S270" s="126">
        <v>3000</v>
      </c>
      <c r="T270" s="126">
        <v>88185</v>
      </c>
      <c r="U270" s="126">
        <v>91185</v>
      </c>
      <c r="V270" s="126" t="s">
        <v>1675</v>
      </c>
      <c r="W270" s="129" t="s">
        <v>3714</v>
      </c>
      <c r="X270" t="s">
        <v>3715</v>
      </c>
      <c r="Y270" t="s">
        <v>644</v>
      </c>
      <c r="Z270" t="s">
        <v>645</v>
      </c>
    </row>
    <row r="271" spans="1:26" x14ac:dyDescent="0.3">
      <c r="A271" s="126" t="s">
        <v>3716</v>
      </c>
      <c r="B271" s="126" t="s">
        <v>3613</v>
      </c>
      <c r="C271" s="54" t="s">
        <v>628</v>
      </c>
      <c r="D271" s="127" t="s">
        <v>3183</v>
      </c>
      <c r="E271" s="126">
        <v>55000</v>
      </c>
      <c r="F271" s="126">
        <v>36</v>
      </c>
      <c r="G271" s="126">
        <v>2361</v>
      </c>
      <c r="H271" s="126" t="s">
        <v>630</v>
      </c>
      <c r="I271" s="126" t="s">
        <v>3717</v>
      </c>
      <c r="J271" s="126" t="s">
        <v>3718</v>
      </c>
      <c r="K271" s="126" t="s">
        <v>3719</v>
      </c>
      <c r="L271" s="1"/>
      <c r="M271" s="128" t="s">
        <v>3720</v>
      </c>
      <c r="N271" s="126" t="s">
        <v>3620</v>
      </c>
      <c r="O271" s="128" t="s">
        <v>3721</v>
      </c>
      <c r="P271" s="126" t="s">
        <v>3722</v>
      </c>
      <c r="Q271" s="126" t="s">
        <v>3723</v>
      </c>
      <c r="R271" s="126" t="s">
        <v>3724</v>
      </c>
      <c r="S271" s="126">
        <v>3000</v>
      </c>
      <c r="T271" s="126">
        <v>65318</v>
      </c>
      <c r="U271" s="126">
        <v>68318</v>
      </c>
      <c r="V271" s="126" t="s">
        <v>1675</v>
      </c>
      <c r="W271" s="129" t="s">
        <v>3725</v>
      </c>
      <c r="X271" t="s">
        <v>3726</v>
      </c>
      <c r="Y271" t="s">
        <v>644</v>
      </c>
      <c r="Z271" t="s">
        <v>645</v>
      </c>
    </row>
    <row r="272" spans="1:26" x14ac:dyDescent="0.3">
      <c r="A272" s="126" t="s">
        <v>3727</v>
      </c>
      <c r="B272" s="126" t="s">
        <v>3613</v>
      </c>
      <c r="C272" s="54" t="s">
        <v>1335</v>
      </c>
      <c r="D272" s="127" t="s">
        <v>3728</v>
      </c>
      <c r="E272" s="126">
        <v>42900</v>
      </c>
      <c r="F272" s="126">
        <v>24</v>
      </c>
      <c r="G272" s="126">
        <v>2308</v>
      </c>
      <c r="H272" s="126" t="s">
        <v>630</v>
      </c>
      <c r="I272" s="126" t="s">
        <v>3729</v>
      </c>
      <c r="J272" s="126" t="s">
        <v>3730</v>
      </c>
      <c r="K272" s="126" t="s">
        <v>3731</v>
      </c>
      <c r="L272" s="126" t="s">
        <v>3708</v>
      </c>
      <c r="M272" s="128" t="s">
        <v>3732</v>
      </c>
      <c r="N272" s="126" t="s">
        <v>3620</v>
      </c>
      <c r="O272" s="128" t="s">
        <v>3733</v>
      </c>
      <c r="P272" s="126" t="s">
        <v>3734</v>
      </c>
      <c r="Q272" s="126" t="s">
        <v>3735</v>
      </c>
      <c r="R272" s="126" t="s">
        <v>3736</v>
      </c>
      <c r="S272" s="126">
        <v>3000</v>
      </c>
      <c r="T272" s="126">
        <v>60283</v>
      </c>
      <c r="U272" s="126">
        <v>63283</v>
      </c>
      <c r="V272" s="126" t="s">
        <v>3737</v>
      </c>
      <c r="W272" s="129" t="s">
        <v>3738</v>
      </c>
      <c r="X272" t="s">
        <v>3739</v>
      </c>
      <c r="Y272" t="s">
        <v>644</v>
      </c>
      <c r="Z272" t="s">
        <v>645</v>
      </c>
    </row>
    <row r="273" spans="1:26" x14ac:dyDescent="0.3">
      <c r="A273" s="126" t="s">
        <v>3740</v>
      </c>
      <c r="B273" s="126" t="s">
        <v>3613</v>
      </c>
      <c r="C273" s="54" t="s">
        <v>702</v>
      </c>
      <c r="D273" s="127" t="s">
        <v>3741</v>
      </c>
      <c r="E273" s="126">
        <v>88800</v>
      </c>
      <c r="F273" s="126">
        <v>41</v>
      </c>
      <c r="G273" s="126">
        <v>3636</v>
      </c>
      <c r="H273" s="126" t="s">
        <v>630</v>
      </c>
      <c r="I273" s="126" t="s">
        <v>3742</v>
      </c>
      <c r="J273" s="126" t="s">
        <v>3743</v>
      </c>
      <c r="K273" s="126" t="s">
        <v>3744</v>
      </c>
      <c r="L273" s="126" t="s">
        <v>3708</v>
      </c>
      <c r="M273" s="128" t="s">
        <v>3745</v>
      </c>
      <c r="N273" s="126" t="s">
        <v>3620</v>
      </c>
      <c r="O273" s="128" t="s">
        <v>3746</v>
      </c>
      <c r="P273" s="1" t="s">
        <v>682</v>
      </c>
      <c r="Q273" s="126" t="s">
        <v>3747</v>
      </c>
      <c r="R273" s="126" t="s">
        <v>3748</v>
      </c>
      <c r="S273" s="126">
        <v>3000</v>
      </c>
      <c r="T273" s="126">
        <v>54623</v>
      </c>
      <c r="U273" s="126">
        <v>57623</v>
      </c>
      <c r="V273" s="126" t="s">
        <v>728</v>
      </c>
      <c r="W273" s="129" t="s">
        <v>3749</v>
      </c>
      <c r="X273" t="s">
        <v>3750</v>
      </c>
      <c r="Y273" t="s">
        <v>644</v>
      </c>
      <c r="Z273" t="s">
        <v>645</v>
      </c>
    </row>
    <row r="274" spans="1:26" x14ac:dyDescent="0.3">
      <c r="A274" s="126" t="s">
        <v>3751</v>
      </c>
      <c r="B274" s="126" t="s">
        <v>3613</v>
      </c>
      <c r="C274" s="54" t="s">
        <v>1335</v>
      </c>
      <c r="D274" s="127" t="s">
        <v>3752</v>
      </c>
      <c r="E274" s="126">
        <v>94899</v>
      </c>
      <c r="F274" s="126">
        <v>36</v>
      </c>
      <c r="G274" s="126">
        <v>3700</v>
      </c>
      <c r="H274" s="126" t="s">
        <v>630</v>
      </c>
      <c r="I274" s="126" t="s">
        <v>3753</v>
      </c>
      <c r="J274" s="126" t="s">
        <v>3754</v>
      </c>
      <c r="K274" s="126" t="s">
        <v>3755</v>
      </c>
      <c r="L274" s="126" t="s">
        <v>3708</v>
      </c>
      <c r="M274" s="128" t="s">
        <v>3756</v>
      </c>
      <c r="N274" s="126" t="s">
        <v>3620</v>
      </c>
      <c r="O274" s="128" t="s">
        <v>3757</v>
      </c>
      <c r="P274" s="126" t="s">
        <v>3758</v>
      </c>
      <c r="Q274" s="126" t="s">
        <v>3759</v>
      </c>
      <c r="R274" s="126" t="s">
        <v>3760</v>
      </c>
      <c r="S274" s="126">
        <v>3000</v>
      </c>
      <c r="T274" s="126">
        <v>86904</v>
      </c>
      <c r="U274" s="126">
        <v>89904</v>
      </c>
      <c r="V274" s="126" t="s">
        <v>3761</v>
      </c>
      <c r="W274" s="129" t="s">
        <v>3762</v>
      </c>
      <c r="X274" t="s">
        <v>3763</v>
      </c>
      <c r="Y274" t="s">
        <v>644</v>
      </c>
      <c r="Z274" t="s">
        <v>645</v>
      </c>
    </row>
    <row r="275" spans="1:26" x14ac:dyDescent="0.3">
      <c r="A275" s="126" t="s">
        <v>3764</v>
      </c>
      <c r="B275" s="126" t="s">
        <v>3613</v>
      </c>
      <c r="C275" s="54" t="s">
        <v>661</v>
      </c>
      <c r="D275" s="127" t="s">
        <v>3765</v>
      </c>
      <c r="E275" s="126">
        <v>80149</v>
      </c>
      <c r="F275" s="126">
        <v>24</v>
      </c>
      <c r="G275" s="126">
        <v>4175</v>
      </c>
      <c r="H275" s="126" t="s">
        <v>630</v>
      </c>
      <c r="I275" s="126" t="s">
        <v>3766</v>
      </c>
      <c r="J275" s="126" t="s">
        <v>3767</v>
      </c>
      <c r="K275" s="126" t="s">
        <v>3768</v>
      </c>
      <c r="L275" s="126" t="s">
        <v>3708</v>
      </c>
      <c r="M275" s="128" t="s">
        <v>3769</v>
      </c>
      <c r="N275" s="126" t="s">
        <v>3620</v>
      </c>
      <c r="O275" s="128" t="s">
        <v>3770</v>
      </c>
      <c r="P275" s="126" t="s">
        <v>3771</v>
      </c>
      <c r="Q275" s="126" t="s">
        <v>3772</v>
      </c>
      <c r="R275" s="126" t="s">
        <v>3773</v>
      </c>
      <c r="S275" s="126">
        <v>3000</v>
      </c>
      <c r="T275" s="126">
        <v>97948</v>
      </c>
      <c r="U275" s="126">
        <v>100948</v>
      </c>
      <c r="V275" s="126" t="s">
        <v>3774</v>
      </c>
      <c r="W275" s="129" t="s">
        <v>3775</v>
      </c>
      <c r="X275" t="s">
        <v>3776</v>
      </c>
      <c r="Y275" t="s">
        <v>644</v>
      </c>
      <c r="Z275" t="s">
        <v>645</v>
      </c>
    </row>
    <row r="276" spans="1:26" x14ac:dyDescent="0.3">
      <c r="A276" s="126" t="s">
        <v>3777</v>
      </c>
      <c r="B276" s="126" t="s">
        <v>3613</v>
      </c>
      <c r="C276" s="54" t="s">
        <v>1335</v>
      </c>
      <c r="D276" s="127" t="s">
        <v>1597</v>
      </c>
      <c r="E276" s="126">
        <v>63900</v>
      </c>
      <c r="F276" s="126">
        <v>23</v>
      </c>
      <c r="G276" s="126">
        <v>4240</v>
      </c>
      <c r="H276" s="126" t="s">
        <v>630</v>
      </c>
      <c r="I276" s="126" t="s">
        <v>3778</v>
      </c>
      <c r="J276" s="126" t="s">
        <v>3779</v>
      </c>
      <c r="K276" s="126" t="s">
        <v>3780</v>
      </c>
      <c r="L276" s="1"/>
      <c r="M276" s="128" t="s">
        <v>3781</v>
      </c>
      <c r="N276" s="126" t="s">
        <v>3620</v>
      </c>
      <c r="O276" s="128" t="s">
        <v>3782</v>
      </c>
      <c r="P276" s="126" t="s">
        <v>3783</v>
      </c>
      <c r="Q276" s="126" t="s">
        <v>3784</v>
      </c>
      <c r="R276" s="126" t="s">
        <v>3785</v>
      </c>
      <c r="S276" s="126">
        <v>3000</v>
      </c>
      <c r="T276" s="126">
        <v>50557</v>
      </c>
      <c r="U276" s="126">
        <v>53557</v>
      </c>
      <c r="V276" s="126" t="s">
        <v>1318</v>
      </c>
      <c r="W276" s="129" t="s">
        <v>3786</v>
      </c>
      <c r="X276" t="s">
        <v>3787</v>
      </c>
      <c r="Y276" t="s">
        <v>644</v>
      </c>
      <c r="Z276" t="s">
        <v>645</v>
      </c>
    </row>
    <row r="277" spans="1:26" x14ac:dyDescent="0.3">
      <c r="A277" s="126" t="s">
        <v>3788</v>
      </c>
      <c r="B277" s="126" t="s">
        <v>3613</v>
      </c>
      <c r="C277" s="54" t="s">
        <v>1335</v>
      </c>
      <c r="D277" s="127" t="s">
        <v>3789</v>
      </c>
      <c r="E277" s="126">
        <v>83699</v>
      </c>
      <c r="F277" s="126">
        <v>36</v>
      </c>
      <c r="G277" s="126">
        <v>3667</v>
      </c>
      <c r="H277" s="126" t="s">
        <v>630</v>
      </c>
      <c r="I277" s="126" t="s">
        <v>3790</v>
      </c>
      <c r="J277" s="126" t="s">
        <v>3791</v>
      </c>
      <c r="K277" s="126" t="s">
        <v>3792</v>
      </c>
      <c r="L277" s="126" t="s">
        <v>3708</v>
      </c>
      <c r="M277" s="128" t="s">
        <v>3769</v>
      </c>
      <c r="N277" s="126" t="s">
        <v>3620</v>
      </c>
      <c r="O277" s="128" t="s">
        <v>3793</v>
      </c>
      <c r="P277" s="126" t="s">
        <v>3794</v>
      </c>
      <c r="Q277" s="126" t="s">
        <v>3795</v>
      </c>
      <c r="R277" s="126" t="s">
        <v>3796</v>
      </c>
      <c r="S277" s="126">
        <v>3000</v>
      </c>
      <c r="T277" s="126">
        <v>93656</v>
      </c>
      <c r="U277" s="126">
        <v>96656</v>
      </c>
      <c r="V277" s="126" t="s">
        <v>3797</v>
      </c>
      <c r="W277" s="129" t="s">
        <v>3798</v>
      </c>
      <c r="X277" t="s">
        <v>3799</v>
      </c>
      <c r="Y277" t="s">
        <v>644</v>
      </c>
      <c r="Z277" t="s">
        <v>645</v>
      </c>
    </row>
    <row r="278" spans="1:26" x14ac:dyDescent="0.3">
      <c r="A278" s="126" t="s">
        <v>3800</v>
      </c>
      <c r="B278" s="126" t="s">
        <v>3613</v>
      </c>
      <c r="C278" s="54" t="s">
        <v>661</v>
      </c>
      <c r="D278" s="127" t="s">
        <v>746</v>
      </c>
      <c r="E278" s="126">
        <v>77899</v>
      </c>
      <c r="F278" s="126">
        <v>36</v>
      </c>
      <c r="G278" s="126">
        <v>3106</v>
      </c>
      <c r="H278" s="126" t="s">
        <v>630</v>
      </c>
      <c r="I278" s="126" t="s">
        <v>3801</v>
      </c>
      <c r="J278" s="126" t="s">
        <v>3802</v>
      </c>
      <c r="K278" s="126" t="s">
        <v>3803</v>
      </c>
      <c r="L278" s="126" t="s">
        <v>3804</v>
      </c>
      <c r="M278" s="128" t="s">
        <v>3805</v>
      </c>
      <c r="N278" s="126" t="s">
        <v>3620</v>
      </c>
      <c r="O278" s="128" t="s">
        <v>3806</v>
      </c>
      <c r="P278" s="1" t="s">
        <v>682</v>
      </c>
      <c r="Q278" s="126" t="s">
        <v>3807</v>
      </c>
      <c r="R278" s="126" t="s">
        <v>3808</v>
      </c>
      <c r="S278" s="126">
        <v>3000</v>
      </c>
      <c r="T278" s="126">
        <v>108158</v>
      </c>
      <c r="U278" s="126">
        <v>111158</v>
      </c>
      <c r="V278" s="126" t="s">
        <v>3809</v>
      </c>
      <c r="W278" s="129" t="s">
        <v>3810</v>
      </c>
      <c r="X278" t="s">
        <v>3811</v>
      </c>
      <c r="Y278" t="s">
        <v>644</v>
      </c>
      <c r="Z278" t="s">
        <v>645</v>
      </c>
    </row>
    <row r="279" spans="1:26" x14ac:dyDescent="0.3">
      <c r="A279" s="126" t="s">
        <v>3812</v>
      </c>
      <c r="B279" s="126" t="s">
        <v>3613</v>
      </c>
      <c r="C279" s="54" t="s">
        <v>702</v>
      </c>
      <c r="D279" s="127" t="s">
        <v>3813</v>
      </c>
      <c r="E279" s="126">
        <v>91900</v>
      </c>
      <c r="F279" s="126">
        <v>34</v>
      </c>
      <c r="G279" s="126">
        <v>4044</v>
      </c>
      <c r="H279" s="126" t="s">
        <v>630</v>
      </c>
      <c r="I279" s="126" t="s">
        <v>3814</v>
      </c>
      <c r="J279" s="126" t="s">
        <v>2137</v>
      </c>
      <c r="K279" s="126" t="s">
        <v>3815</v>
      </c>
      <c r="L279" s="126" t="s">
        <v>3708</v>
      </c>
      <c r="M279" s="128" t="s">
        <v>3816</v>
      </c>
      <c r="N279" s="126" t="s">
        <v>3620</v>
      </c>
      <c r="O279" s="128" t="s">
        <v>3817</v>
      </c>
      <c r="P279" s="126" t="s">
        <v>3818</v>
      </c>
      <c r="Q279" s="126" t="s">
        <v>3819</v>
      </c>
      <c r="R279" s="126" t="s">
        <v>3820</v>
      </c>
      <c r="S279" s="126">
        <v>3000</v>
      </c>
      <c r="T279" s="126">
        <v>113010</v>
      </c>
      <c r="U279" s="126">
        <v>116010</v>
      </c>
      <c r="V279" s="126" t="s">
        <v>641</v>
      </c>
      <c r="W279" s="129" t="s">
        <v>3821</v>
      </c>
      <c r="X279" t="s">
        <v>3822</v>
      </c>
      <c r="Y279" t="s">
        <v>644</v>
      </c>
      <c r="Z279" t="s">
        <v>645</v>
      </c>
    </row>
    <row r="280" spans="1:26" x14ac:dyDescent="0.3">
      <c r="A280" s="126" t="s">
        <v>3823</v>
      </c>
      <c r="B280" s="126" t="s">
        <v>3613</v>
      </c>
      <c r="C280" s="54" t="s">
        <v>661</v>
      </c>
      <c r="D280" s="127" t="s">
        <v>3824</v>
      </c>
      <c r="E280" s="126">
        <v>72249</v>
      </c>
      <c r="F280" s="126">
        <v>36</v>
      </c>
      <c r="G280" s="126">
        <v>2862</v>
      </c>
      <c r="H280" s="126" t="s">
        <v>630</v>
      </c>
      <c r="I280" s="126" t="s">
        <v>3825</v>
      </c>
      <c r="J280" s="126" t="s">
        <v>3826</v>
      </c>
      <c r="K280" s="126" t="s">
        <v>3827</v>
      </c>
      <c r="L280" s="126" t="s">
        <v>3828</v>
      </c>
      <c r="M280" s="128" t="s">
        <v>3829</v>
      </c>
      <c r="N280" s="126" t="s">
        <v>3620</v>
      </c>
      <c r="O280" s="128" t="s">
        <v>3830</v>
      </c>
      <c r="P280" s="126" t="s">
        <v>3831</v>
      </c>
      <c r="Q280" s="126" t="s">
        <v>3832</v>
      </c>
      <c r="R280" s="126" t="s">
        <v>3833</v>
      </c>
      <c r="S280" s="126">
        <v>3000</v>
      </c>
      <c r="T280" s="126">
        <v>62128</v>
      </c>
      <c r="U280" s="126">
        <v>65128</v>
      </c>
      <c r="V280" s="126" t="s">
        <v>978</v>
      </c>
      <c r="W280" s="129" t="s">
        <v>3834</v>
      </c>
      <c r="X280" t="s">
        <v>3835</v>
      </c>
      <c r="Y280" t="s">
        <v>644</v>
      </c>
      <c r="Z280" t="s">
        <v>645</v>
      </c>
    </row>
    <row r="281" spans="1:26" x14ac:dyDescent="0.3">
      <c r="A281" s="126" t="s">
        <v>3836</v>
      </c>
      <c r="B281" s="126" t="s">
        <v>3613</v>
      </c>
      <c r="C281" s="54" t="s">
        <v>661</v>
      </c>
      <c r="D281" s="127" t="s">
        <v>3837</v>
      </c>
      <c r="E281" s="126">
        <v>66642</v>
      </c>
      <c r="F281" s="126">
        <v>30</v>
      </c>
      <c r="G281" s="126">
        <v>3238</v>
      </c>
      <c r="H281" s="126" t="s">
        <v>630</v>
      </c>
      <c r="I281" s="126" t="s">
        <v>3838</v>
      </c>
      <c r="J281" s="126" t="s">
        <v>3839</v>
      </c>
      <c r="K281" s="126" t="s">
        <v>3840</v>
      </c>
      <c r="L281" s="126" t="s">
        <v>3841</v>
      </c>
      <c r="M281" s="128" t="s">
        <v>3842</v>
      </c>
      <c r="N281" s="126" t="s">
        <v>3620</v>
      </c>
      <c r="O281" s="128" t="s">
        <v>3843</v>
      </c>
      <c r="P281" s="126" t="s">
        <v>3844</v>
      </c>
      <c r="Q281" s="126" t="s">
        <v>3845</v>
      </c>
      <c r="R281" s="126" t="s">
        <v>3846</v>
      </c>
      <c r="S281" s="126">
        <v>3000</v>
      </c>
      <c r="T281" s="126">
        <v>59839</v>
      </c>
      <c r="U281" s="126">
        <v>62839</v>
      </c>
      <c r="V281" s="126" t="s">
        <v>870</v>
      </c>
      <c r="W281" s="129" t="s">
        <v>3847</v>
      </c>
      <c r="X281" t="s">
        <v>3848</v>
      </c>
      <c r="Y281" t="s">
        <v>644</v>
      </c>
      <c r="Z281" t="s">
        <v>645</v>
      </c>
    </row>
    <row r="282" spans="1:26" x14ac:dyDescent="0.3">
      <c r="A282" s="126" t="s">
        <v>3849</v>
      </c>
      <c r="B282" s="126" t="s">
        <v>3613</v>
      </c>
      <c r="C282" s="54" t="s">
        <v>628</v>
      </c>
      <c r="D282" s="127" t="s">
        <v>3850</v>
      </c>
      <c r="E282" s="126">
        <v>69800</v>
      </c>
      <c r="F282" s="126">
        <v>41</v>
      </c>
      <c r="G282" s="126">
        <v>2600</v>
      </c>
      <c r="H282" s="126" t="s">
        <v>630</v>
      </c>
      <c r="I282" s="126" t="s">
        <v>3851</v>
      </c>
      <c r="J282" s="126" t="s">
        <v>3852</v>
      </c>
      <c r="K282" s="126" t="s">
        <v>3853</v>
      </c>
      <c r="L282" s="126" t="s">
        <v>3708</v>
      </c>
      <c r="M282" s="128" t="s">
        <v>3854</v>
      </c>
      <c r="N282" s="126" t="s">
        <v>3620</v>
      </c>
      <c r="O282" s="128" t="s">
        <v>3855</v>
      </c>
      <c r="P282" s="126" t="s">
        <v>3856</v>
      </c>
      <c r="Q282" s="126" t="s">
        <v>3857</v>
      </c>
      <c r="R282" s="126" t="s">
        <v>3858</v>
      </c>
      <c r="S282" s="126">
        <v>3000</v>
      </c>
      <c r="T282" s="126">
        <v>84783</v>
      </c>
      <c r="U282" s="126">
        <v>87783</v>
      </c>
      <c r="V282" s="126" t="s">
        <v>1318</v>
      </c>
      <c r="W282" s="129" t="s">
        <v>3859</v>
      </c>
      <c r="X282" t="s">
        <v>3860</v>
      </c>
      <c r="Y282" t="s">
        <v>644</v>
      </c>
      <c r="Z282" t="s">
        <v>645</v>
      </c>
    </row>
    <row r="283" spans="1:26" x14ac:dyDescent="0.3">
      <c r="A283" s="126" t="s">
        <v>3861</v>
      </c>
      <c r="B283" s="126" t="s">
        <v>3613</v>
      </c>
      <c r="C283" s="54" t="s">
        <v>702</v>
      </c>
      <c r="D283" s="127" t="s">
        <v>3862</v>
      </c>
      <c r="E283" s="126">
        <v>52700</v>
      </c>
      <c r="F283" s="126">
        <v>24</v>
      </c>
      <c r="G283" s="126">
        <v>2772</v>
      </c>
      <c r="H283" s="126" t="s">
        <v>630</v>
      </c>
      <c r="I283" s="126" t="s">
        <v>3863</v>
      </c>
      <c r="J283" s="126" t="s">
        <v>3864</v>
      </c>
      <c r="K283" s="126" t="s">
        <v>3865</v>
      </c>
      <c r="L283" s="126" t="s">
        <v>3708</v>
      </c>
      <c r="M283" s="128" t="s">
        <v>3732</v>
      </c>
      <c r="N283" s="126" t="s">
        <v>3620</v>
      </c>
      <c r="O283" s="128" t="s">
        <v>3866</v>
      </c>
      <c r="P283" s="126" t="s">
        <v>3867</v>
      </c>
      <c r="Q283" s="126" t="s">
        <v>3868</v>
      </c>
      <c r="R283" s="126" t="s">
        <v>3869</v>
      </c>
      <c r="S283" s="126">
        <v>3000</v>
      </c>
      <c r="T283" s="126">
        <v>7136</v>
      </c>
      <c r="U283" s="126">
        <v>10136</v>
      </c>
      <c r="V283" s="126" t="s">
        <v>857</v>
      </c>
      <c r="W283" s="129" t="s">
        <v>3870</v>
      </c>
      <c r="X283" t="s">
        <v>3871</v>
      </c>
      <c r="Y283" t="s">
        <v>644</v>
      </c>
      <c r="Z283" t="s">
        <v>645</v>
      </c>
    </row>
    <row r="284" spans="1:26" x14ac:dyDescent="0.3">
      <c r="A284" s="126" t="s">
        <v>3872</v>
      </c>
      <c r="B284" s="126" t="s">
        <v>3613</v>
      </c>
      <c r="C284" s="1" t="s">
        <v>682</v>
      </c>
      <c r="D284" s="127" t="s">
        <v>3873</v>
      </c>
      <c r="E284" s="126">
        <v>50900</v>
      </c>
      <c r="F284" s="126">
        <v>31</v>
      </c>
      <c r="G284" s="126">
        <v>2694</v>
      </c>
      <c r="H284" s="126" t="s">
        <v>630</v>
      </c>
      <c r="I284" s="126" t="s">
        <v>3874</v>
      </c>
      <c r="J284" s="126" t="s">
        <v>3875</v>
      </c>
      <c r="K284" s="126" t="s">
        <v>3876</v>
      </c>
      <c r="L284" s="126" t="s">
        <v>3708</v>
      </c>
      <c r="M284" s="128" t="s">
        <v>3877</v>
      </c>
      <c r="N284" s="126" t="s">
        <v>3620</v>
      </c>
      <c r="O284" s="128" t="s">
        <v>3878</v>
      </c>
      <c r="P284" s="126" t="s">
        <v>3879</v>
      </c>
      <c r="Q284" s="126" t="s">
        <v>3880</v>
      </c>
      <c r="R284" s="126" t="s">
        <v>3881</v>
      </c>
      <c r="S284" s="126">
        <v>3000</v>
      </c>
      <c r="T284" s="126">
        <v>40510</v>
      </c>
      <c r="U284" s="126">
        <v>43510</v>
      </c>
      <c r="V284" s="126" t="s">
        <v>1141</v>
      </c>
      <c r="W284" s="129" t="s">
        <v>3882</v>
      </c>
      <c r="X284" t="s">
        <v>3883</v>
      </c>
      <c r="Y284" t="s">
        <v>644</v>
      </c>
      <c r="Z284" t="s">
        <v>645</v>
      </c>
    </row>
    <row r="285" spans="1:26" x14ac:dyDescent="0.3">
      <c r="A285" s="126" t="s">
        <v>3884</v>
      </c>
      <c r="B285" s="126" t="s">
        <v>3613</v>
      </c>
      <c r="C285" s="54" t="s">
        <v>661</v>
      </c>
      <c r="D285" s="127" t="s">
        <v>3885</v>
      </c>
      <c r="E285" s="126">
        <v>59400</v>
      </c>
      <c r="F285" s="126">
        <v>36</v>
      </c>
      <c r="G285" s="126">
        <v>2586</v>
      </c>
      <c r="H285" s="126" t="s">
        <v>630</v>
      </c>
      <c r="I285" s="126" t="s">
        <v>3886</v>
      </c>
      <c r="J285" s="126" t="s">
        <v>3887</v>
      </c>
      <c r="K285" s="126" t="s">
        <v>3888</v>
      </c>
      <c r="L285" s="126" t="s">
        <v>3889</v>
      </c>
      <c r="M285" s="128" t="s">
        <v>3890</v>
      </c>
      <c r="N285" s="126" t="s">
        <v>3620</v>
      </c>
      <c r="O285" s="128" t="s">
        <v>3891</v>
      </c>
      <c r="P285" s="1" t="s">
        <v>682</v>
      </c>
      <c r="Q285" s="126" t="s">
        <v>3892</v>
      </c>
      <c r="R285" s="126" t="s">
        <v>3893</v>
      </c>
      <c r="S285" s="126">
        <v>3000</v>
      </c>
      <c r="T285" s="126">
        <v>81108</v>
      </c>
      <c r="U285" s="126">
        <v>84108</v>
      </c>
      <c r="V285" s="126" t="s">
        <v>2312</v>
      </c>
      <c r="W285" s="129" t="s">
        <v>3894</v>
      </c>
      <c r="X285" t="s">
        <v>3895</v>
      </c>
      <c r="Y285" t="s">
        <v>644</v>
      </c>
      <c r="Z285" t="s">
        <v>645</v>
      </c>
    </row>
    <row r="286" spans="1:26" x14ac:dyDescent="0.3">
      <c r="A286" s="126" t="s">
        <v>3896</v>
      </c>
      <c r="B286" s="126" t="s">
        <v>3613</v>
      </c>
      <c r="C286" s="54" t="s">
        <v>628</v>
      </c>
      <c r="D286" s="127" t="s">
        <v>3897</v>
      </c>
      <c r="E286" s="126">
        <v>53061</v>
      </c>
      <c r="F286" s="126">
        <v>18</v>
      </c>
      <c r="G286" s="126">
        <v>3523</v>
      </c>
      <c r="H286" s="126" t="s">
        <v>630</v>
      </c>
      <c r="I286" s="126" t="s">
        <v>3898</v>
      </c>
      <c r="J286" s="126" t="s">
        <v>3899</v>
      </c>
      <c r="K286" s="126" t="s">
        <v>3900</v>
      </c>
      <c r="L286" s="126" t="s">
        <v>3841</v>
      </c>
      <c r="M286" s="128" t="s">
        <v>3901</v>
      </c>
      <c r="N286" s="126" t="s">
        <v>3620</v>
      </c>
      <c r="O286" s="128" t="s">
        <v>3902</v>
      </c>
      <c r="P286" s="126" t="s">
        <v>3903</v>
      </c>
      <c r="Q286" s="126" t="s">
        <v>3904</v>
      </c>
      <c r="R286" s="126" t="s">
        <v>3905</v>
      </c>
      <c r="S286" s="126">
        <v>3000</v>
      </c>
      <c r="T286" s="126">
        <v>34937</v>
      </c>
      <c r="U286" s="126">
        <v>37937</v>
      </c>
      <c r="V286" s="126" t="s">
        <v>698</v>
      </c>
      <c r="W286" s="129" t="s">
        <v>3906</v>
      </c>
      <c r="X286" t="s">
        <v>3907</v>
      </c>
      <c r="Y286" t="s">
        <v>644</v>
      </c>
      <c r="Z286" t="s">
        <v>645</v>
      </c>
    </row>
    <row r="287" spans="1:26" x14ac:dyDescent="0.3">
      <c r="A287" s="126" t="s">
        <v>3908</v>
      </c>
      <c r="B287" s="126" t="s">
        <v>3613</v>
      </c>
      <c r="C287" s="1" t="s">
        <v>682</v>
      </c>
      <c r="D287" s="127" t="s">
        <v>3909</v>
      </c>
      <c r="E287" s="126">
        <v>74400</v>
      </c>
      <c r="F287" s="126">
        <v>30</v>
      </c>
      <c r="G287" s="126">
        <v>3336</v>
      </c>
      <c r="H287" s="126" t="s">
        <v>630</v>
      </c>
      <c r="I287" s="126" t="s">
        <v>3910</v>
      </c>
      <c r="J287" s="126" t="s">
        <v>3911</v>
      </c>
      <c r="K287" s="126" t="s">
        <v>3912</v>
      </c>
      <c r="L287" s="126" t="s">
        <v>3708</v>
      </c>
      <c r="M287" s="128" t="s">
        <v>3913</v>
      </c>
      <c r="N287" s="126" t="s">
        <v>3620</v>
      </c>
      <c r="O287" s="128" t="s">
        <v>3914</v>
      </c>
      <c r="P287" s="126" t="s">
        <v>3915</v>
      </c>
      <c r="Q287" s="126" t="s">
        <v>3916</v>
      </c>
      <c r="R287" s="126" t="s">
        <v>3917</v>
      </c>
      <c r="S287" s="126">
        <v>3000</v>
      </c>
      <c r="T287" s="126">
        <v>88229</v>
      </c>
      <c r="U287" s="126">
        <v>91229</v>
      </c>
      <c r="V287" s="126" t="s">
        <v>2312</v>
      </c>
      <c r="W287" s="129" t="s">
        <v>3918</v>
      </c>
      <c r="X287" t="s">
        <v>3919</v>
      </c>
      <c r="Y287" t="s">
        <v>644</v>
      </c>
      <c r="Z287" t="s">
        <v>645</v>
      </c>
    </row>
    <row r="288" spans="1:26" x14ac:dyDescent="0.3">
      <c r="A288" s="126" t="s">
        <v>3920</v>
      </c>
      <c r="B288" s="126" t="s">
        <v>3613</v>
      </c>
      <c r="C288" s="54" t="s">
        <v>702</v>
      </c>
      <c r="D288" s="127" t="s">
        <v>3921</v>
      </c>
      <c r="E288" s="126">
        <v>44900</v>
      </c>
      <c r="F288" s="126">
        <v>33</v>
      </c>
      <c r="G288" s="126">
        <v>2361</v>
      </c>
      <c r="H288" s="126" t="s">
        <v>630</v>
      </c>
      <c r="I288" s="126" t="s">
        <v>3922</v>
      </c>
      <c r="J288" s="126" t="s">
        <v>3923</v>
      </c>
      <c r="K288" s="126" t="s">
        <v>3924</v>
      </c>
      <c r="L288" s="126" t="s">
        <v>3708</v>
      </c>
      <c r="M288" s="128" t="s">
        <v>3925</v>
      </c>
      <c r="N288" s="126" t="s">
        <v>3620</v>
      </c>
      <c r="O288" s="128" t="s">
        <v>3926</v>
      </c>
      <c r="P288" s="126" t="s">
        <v>3927</v>
      </c>
      <c r="Q288" s="126" t="s">
        <v>3928</v>
      </c>
      <c r="R288" s="126" t="s">
        <v>3929</v>
      </c>
      <c r="S288" s="126">
        <v>3000</v>
      </c>
      <c r="T288" s="126">
        <v>21243</v>
      </c>
      <c r="U288" s="126">
        <v>24243</v>
      </c>
      <c r="V288" s="126" t="s">
        <v>1141</v>
      </c>
      <c r="W288" s="129" t="s">
        <v>3930</v>
      </c>
      <c r="X288" t="s">
        <v>3931</v>
      </c>
      <c r="Y288" t="s">
        <v>644</v>
      </c>
      <c r="Z288" t="s">
        <v>645</v>
      </c>
    </row>
    <row r="289" spans="1:26" x14ac:dyDescent="0.3">
      <c r="A289" s="126" t="s">
        <v>3932</v>
      </c>
      <c r="B289" s="126" t="s">
        <v>3613</v>
      </c>
      <c r="C289" s="54" t="s">
        <v>1335</v>
      </c>
      <c r="D289" s="127" t="s">
        <v>2351</v>
      </c>
      <c r="E289" s="126">
        <v>89900</v>
      </c>
      <c r="F289" s="126">
        <v>36</v>
      </c>
      <c r="G289" s="126">
        <v>3502</v>
      </c>
      <c r="H289" s="126" t="s">
        <v>630</v>
      </c>
      <c r="I289" s="126" t="s">
        <v>3933</v>
      </c>
      <c r="J289" s="126" t="s">
        <v>3934</v>
      </c>
      <c r="K289" s="126" t="s">
        <v>3935</v>
      </c>
      <c r="L289" s="126" t="s">
        <v>3708</v>
      </c>
      <c r="M289" s="128" t="s">
        <v>3936</v>
      </c>
      <c r="N289" s="126" t="s">
        <v>3620</v>
      </c>
      <c r="O289" s="128" t="s">
        <v>3937</v>
      </c>
      <c r="P289" s="126" t="s">
        <v>3938</v>
      </c>
      <c r="Q289" s="126" t="s">
        <v>3939</v>
      </c>
      <c r="R289" s="126" t="s">
        <v>3940</v>
      </c>
      <c r="S289" s="126">
        <v>3000</v>
      </c>
      <c r="T289" s="126">
        <v>94159</v>
      </c>
      <c r="U289" s="126">
        <v>97159</v>
      </c>
      <c r="V289" s="126" t="s">
        <v>3761</v>
      </c>
      <c r="W289" s="129" t="s">
        <v>3941</v>
      </c>
      <c r="X289" t="s">
        <v>3942</v>
      </c>
      <c r="Y289" t="s">
        <v>644</v>
      </c>
      <c r="Z289" t="s">
        <v>645</v>
      </c>
    </row>
    <row r="290" spans="1:26" x14ac:dyDescent="0.3">
      <c r="A290" s="126" t="s">
        <v>3943</v>
      </c>
      <c r="B290" s="126" t="s">
        <v>3613</v>
      </c>
      <c r="C290" s="54" t="s">
        <v>1335</v>
      </c>
      <c r="D290" s="127" t="s">
        <v>3944</v>
      </c>
      <c r="E290" s="126">
        <v>69100</v>
      </c>
      <c r="F290" s="126">
        <v>24</v>
      </c>
      <c r="G290" s="126">
        <v>3499</v>
      </c>
      <c r="H290" s="126" t="s">
        <v>630</v>
      </c>
      <c r="I290" s="126" t="s">
        <v>3945</v>
      </c>
      <c r="J290" s="126" t="s">
        <v>3946</v>
      </c>
      <c r="K290" s="126" t="s">
        <v>3947</v>
      </c>
      <c r="L290" s="126" t="s">
        <v>3708</v>
      </c>
      <c r="M290" s="128" t="s">
        <v>3948</v>
      </c>
      <c r="N290" s="126" t="s">
        <v>3620</v>
      </c>
      <c r="O290" s="128" t="s">
        <v>3949</v>
      </c>
      <c r="P290" s="1" t="s">
        <v>682</v>
      </c>
      <c r="Q290" s="126" t="s">
        <v>3950</v>
      </c>
      <c r="R290" s="126" t="s">
        <v>3951</v>
      </c>
      <c r="S290" s="126">
        <v>3000</v>
      </c>
      <c r="T290" s="126">
        <v>9588</v>
      </c>
      <c r="U290" s="126">
        <v>12588</v>
      </c>
      <c r="V290" s="126" t="s">
        <v>3952</v>
      </c>
      <c r="W290" s="129" t="s">
        <v>3953</v>
      </c>
      <c r="X290" t="s">
        <v>3954</v>
      </c>
      <c r="Y290" t="s">
        <v>644</v>
      </c>
      <c r="Z290" t="s">
        <v>645</v>
      </c>
    </row>
    <row r="291" spans="1:26" x14ac:dyDescent="0.3">
      <c r="A291" s="126" t="s">
        <v>3955</v>
      </c>
      <c r="B291" s="126" t="s">
        <v>3613</v>
      </c>
      <c r="C291" s="54" t="s">
        <v>1335</v>
      </c>
      <c r="D291" s="127" t="s">
        <v>1243</v>
      </c>
      <c r="E291" s="126">
        <v>69900</v>
      </c>
      <c r="F291" s="126">
        <v>28</v>
      </c>
      <c r="G291" s="126">
        <v>3670</v>
      </c>
      <c r="H291" s="126" t="s">
        <v>630</v>
      </c>
      <c r="I291" s="126" t="s">
        <v>3956</v>
      </c>
      <c r="J291" s="126" t="s">
        <v>3957</v>
      </c>
      <c r="K291" s="126" t="s">
        <v>3958</v>
      </c>
      <c r="L291" s="126" t="s">
        <v>3708</v>
      </c>
      <c r="M291" s="128" t="s">
        <v>3959</v>
      </c>
      <c r="N291" s="126" t="s">
        <v>3620</v>
      </c>
      <c r="O291" s="128" t="s">
        <v>3960</v>
      </c>
      <c r="P291" s="1" t="s">
        <v>682</v>
      </c>
      <c r="Q291" s="126" t="s">
        <v>3961</v>
      </c>
      <c r="R291" s="126" t="s">
        <v>3962</v>
      </c>
      <c r="S291" s="126">
        <v>3000</v>
      </c>
      <c r="T291" s="126">
        <v>13450</v>
      </c>
      <c r="U291" s="126">
        <v>16450</v>
      </c>
      <c r="V291" s="126" t="s">
        <v>3963</v>
      </c>
      <c r="W291" s="129" t="s">
        <v>3964</v>
      </c>
      <c r="X291" t="s">
        <v>3965</v>
      </c>
      <c r="Y291" t="s">
        <v>644</v>
      </c>
      <c r="Z291" t="s">
        <v>645</v>
      </c>
    </row>
    <row r="292" spans="1:26" x14ac:dyDescent="0.3">
      <c r="A292" s="126" t="s">
        <v>3966</v>
      </c>
      <c r="B292" s="126" t="s">
        <v>3613</v>
      </c>
      <c r="C292" s="1" t="s">
        <v>682</v>
      </c>
      <c r="D292" s="127" t="s">
        <v>3967</v>
      </c>
      <c r="E292" s="126">
        <v>82621</v>
      </c>
      <c r="F292" s="126">
        <v>39</v>
      </c>
      <c r="G292" s="126">
        <v>3740</v>
      </c>
      <c r="H292" s="126" t="s">
        <v>630</v>
      </c>
      <c r="I292" s="126" t="s">
        <v>3968</v>
      </c>
      <c r="J292" s="126" t="s">
        <v>3969</v>
      </c>
      <c r="K292" s="126" t="s">
        <v>3970</v>
      </c>
      <c r="L292" s="126" t="s">
        <v>3841</v>
      </c>
      <c r="M292" s="128" t="s">
        <v>3971</v>
      </c>
      <c r="N292" s="126" t="s">
        <v>3620</v>
      </c>
      <c r="O292" s="128" t="s">
        <v>3972</v>
      </c>
      <c r="P292" s="126" t="s">
        <v>3973</v>
      </c>
      <c r="Q292" s="126" t="s">
        <v>3974</v>
      </c>
      <c r="R292" s="126" t="s">
        <v>3975</v>
      </c>
      <c r="S292" s="126">
        <v>0</v>
      </c>
      <c r="T292" s="126">
        <v>57459</v>
      </c>
      <c r="U292" s="126">
        <v>57459</v>
      </c>
      <c r="V292" s="126" t="s">
        <v>1303</v>
      </c>
      <c r="W292" s="129" t="s">
        <v>3976</v>
      </c>
      <c r="X292" t="s">
        <v>3977</v>
      </c>
      <c r="Y292" t="s">
        <v>644</v>
      </c>
      <c r="Z292" t="s">
        <v>645</v>
      </c>
    </row>
    <row r="293" spans="1:26" x14ac:dyDescent="0.3">
      <c r="A293" s="126" t="s">
        <v>3978</v>
      </c>
      <c r="B293" s="126" t="s">
        <v>3613</v>
      </c>
      <c r="C293" s="54" t="s">
        <v>1335</v>
      </c>
      <c r="D293" s="127" t="s">
        <v>3979</v>
      </c>
      <c r="E293" s="126">
        <v>76027</v>
      </c>
      <c r="F293" s="126">
        <v>24</v>
      </c>
      <c r="G293" s="126">
        <v>5076</v>
      </c>
      <c r="H293" s="126" t="s">
        <v>630</v>
      </c>
      <c r="I293" s="126" t="s">
        <v>3980</v>
      </c>
      <c r="J293" s="126" t="s">
        <v>3981</v>
      </c>
      <c r="K293" s="126" t="s">
        <v>3982</v>
      </c>
      <c r="L293" s="126" t="s">
        <v>3708</v>
      </c>
      <c r="M293" s="128" t="s">
        <v>3983</v>
      </c>
      <c r="N293" s="126" t="s">
        <v>3620</v>
      </c>
      <c r="O293" s="128" t="s">
        <v>3984</v>
      </c>
      <c r="P293" s="1" t="s">
        <v>682</v>
      </c>
      <c r="Q293" s="126" t="s">
        <v>3985</v>
      </c>
      <c r="R293" s="126" t="s">
        <v>3986</v>
      </c>
      <c r="S293" s="126">
        <v>3000</v>
      </c>
      <c r="T293" s="126">
        <v>28758</v>
      </c>
      <c r="U293" s="126">
        <v>31758</v>
      </c>
      <c r="V293" s="126" t="s">
        <v>3987</v>
      </c>
      <c r="W293" s="129" t="s">
        <v>3988</v>
      </c>
      <c r="X293" t="s">
        <v>3989</v>
      </c>
      <c r="Y293" t="s">
        <v>644</v>
      </c>
      <c r="Z293" t="s">
        <v>645</v>
      </c>
    </row>
    <row r="294" spans="1:26" x14ac:dyDescent="0.3">
      <c r="A294" s="126" t="s">
        <v>3990</v>
      </c>
      <c r="B294" s="126" t="s">
        <v>3613</v>
      </c>
      <c r="C294" s="54" t="s">
        <v>661</v>
      </c>
      <c r="D294" s="127" t="s">
        <v>1322</v>
      </c>
      <c r="E294" s="126">
        <v>55899</v>
      </c>
      <c r="F294" s="126">
        <v>24</v>
      </c>
      <c r="G294" s="126">
        <v>3028</v>
      </c>
      <c r="H294" s="126" t="s">
        <v>630</v>
      </c>
      <c r="I294" s="126" t="s">
        <v>3991</v>
      </c>
      <c r="J294" s="126" t="s">
        <v>3992</v>
      </c>
      <c r="K294" s="126" t="s">
        <v>3993</v>
      </c>
      <c r="L294" s="126" t="s">
        <v>3804</v>
      </c>
      <c r="M294" s="128" t="s">
        <v>3994</v>
      </c>
      <c r="N294" s="126" t="s">
        <v>3620</v>
      </c>
      <c r="O294" s="128" t="s">
        <v>3995</v>
      </c>
      <c r="P294" s="1" t="s">
        <v>682</v>
      </c>
      <c r="Q294" s="126" t="s">
        <v>3996</v>
      </c>
      <c r="R294" s="126" t="s">
        <v>3997</v>
      </c>
      <c r="S294" s="126">
        <v>3000</v>
      </c>
      <c r="T294" s="126">
        <v>64972</v>
      </c>
      <c r="U294" s="126">
        <v>67972</v>
      </c>
      <c r="V294" s="126" t="s">
        <v>1078</v>
      </c>
      <c r="W294" s="129" t="s">
        <v>3998</v>
      </c>
      <c r="X294" t="s">
        <v>3999</v>
      </c>
      <c r="Y294" t="s">
        <v>644</v>
      </c>
      <c r="Z294" t="s">
        <v>645</v>
      </c>
    </row>
    <row r="295" spans="1:26" x14ac:dyDescent="0.3">
      <c r="A295" s="126" t="s">
        <v>4000</v>
      </c>
      <c r="B295" s="126" t="s">
        <v>3613</v>
      </c>
      <c r="C295" s="54" t="s">
        <v>1335</v>
      </c>
      <c r="D295" s="127" t="s">
        <v>4001</v>
      </c>
      <c r="E295" s="126">
        <v>33900</v>
      </c>
      <c r="F295" s="126">
        <v>24</v>
      </c>
      <c r="G295" s="126">
        <v>1868</v>
      </c>
      <c r="H295" s="126" t="s">
        <v>630</v>
      </c>
      <c r="I295" s="126" t="s">
        <v>4002</v>
      </c>
      <c r="J295" s="126" t="s">
        <v>4003</v>
      </c>
      <c r="K295" s="126" t="s">
        <v>4004</v>
      </c>
      <c r="L295" s="126" t="s">
        <v>3708</v>
      </c>
      <c r="M295" s="128" t="s">
        <v>4005</v>
      </c>
      <c r="N295" s="126" t="s">
        <v>3620</v>
      </c>
      <c r="O295" s="128" t="s">
        <v>4006</v>
      </c>
      <c r="P295" s="126" t="s">
        <v>4007</v>
      </c>
      <c r="Q295" s="126" t="s">
        <v>4008</v>
      </c>
      <c r="R295" s="126" t="s">
        <v>4009</v>
      </c>
      <c r="S295" s="126">
        <v>3000</v>
      </c>
      <c r="T295" s="126">
        <v>48609</v>
      </c>
      <c r="U295" s="126">
        <v>51609</v>
      </c>
      <c r="V295" s="126" t="s">
        <v>685</v>
      </c>
      <c r="W295" s="129" t="s">
        <v>4010</v>
      </c>
      <c r="X295" t="s">
        <v>4011</v>
      </c>
      <c r="Y295" t="s">
        <v>644</v>
      </c>
      <c r="Z295" t="s">
        <v>645</v>
      </c>
    </row>
    <row r="296" spans="1:26" x14ac:dyDescent="0.3">
      <c r="A296" s="126" t="s">
        <v>4012</v>
      </c>
      <c r="B296" s="126" t="s">
        <v>3613</v>
      </c>
      <c r="C296" s="54" t="s">
        <v>628</v>
      </c>
      <c r="D296" s="127" t="s">
        <v>4013</v>
      </c>
      <c r="E296" s="126">
        <v>106899</v>
      </c>
      <c r="F296" s="126">
        <v>28</v>
      </c>
      <c r="G296" s="126">
        <v>4797</v>
      </c>
      <c r="H296" s="126" t="s">
        <v>630</v>
      </c>
      <c r="I296" s="126" t="s">
        <v>4014</v>
      </c>
      <c r="J296" s="126" t="s">
        <v>4015</v>
      </c>
      <c r="K296" s="126" t="s">
        <v>4016</v>
      </c>
      <c r="L296" s="126" t="s">
        <v>4017</v>
      </c>
      <c r="M296" s="128" t="s">
        <v>4018</v>
      </c>
      <c r="N296" s="126" t="s">
        <v>3620</v>
      </c>
      <c r="O296" s="128" t="s">
        <v>4019</v>
      </c>
      <c r="P296" s="126" t="s">
        <v>4020</v>
      </c>
      <c r="Q296" s="126" t="s">
        <v>4021</v>
      </c>
      <c r="R296" s="126" t="s">
        <v>4022</v>
      </c>
      <c r="S296" s="126">
        <v>3000</v>
      </c>
      <c r="T296" s="126">
        <v>111525</v>
      </c>
      <c r="U296" s="126">
        <v>114525</v>
      </c>
      <c r="V296" s="126" t="s">
        <v>4023</v>
      </c>
      <c r="W296" s="129" t="s">
        <v>4024</v>
      </c>
      <c r="X296" t="s">
        <v>4025</v>
      </c>
      <c r="Y296" t="s">
        <v>644</v>
      </c>
      <c r="Z296" t="s">
        <v>645</v>
      </c>
    </row>
    <row r="297" spans="1:26" x14ac:dyDescent="0.3">
      <c r="A297" s="126" t="s">
        <v>4026</v>
      </c>
      <c r="B297" s="126" t="s">
        <v>3613</v>
      </c>
      <c r="C297" s="54" t="s">
        <v>1335</v>
      </c>
      <c r="D297" s="127" t="s">
        <v>4027</v>
      </c>
      <c r="E297" s="126">
        <v>81800</v>
      </c>
      <c r="F297" s="126">
        <v>24</v>
      </c>
      <c r="G297" s="126">
        <v>4264</v>
      </c>
      <c r="H297" s="126" t="s">
        <v>630</v>
      </c>
      <c r="I297" s="126" t="s">
        <v>4028</v>
      </c>
      <c r="J297" s="126" t="s">
        <v>4029</v>
      </c>
      <c r="K297" s="126" t="s">
        <v>4030</v>
      </c>
      <c r="L297" s="126" t="s">
        <v>3828</v>
      </c>
      <c r="M297" s="128" t="s">
        <v>4031</v>
      </c>
      <c r="N297" s="126" t="s">
        <v>3620</v>
      </c>
      <c r="O297" s="128" t="s">
        <v>4032</v>
      </c>
      <c r="P297" s="126" t="s">
        <v>4033</v>
      </c>
      <c r="Q297" s="126" t="s">
        <v>4034</v>
      </c>
      <c r="R297" s="126" t="s">
        <v>4035</v>
      </c>
      <c r="S297" s="126">
        <v>3000</v>
      </c>
      <c r="T297" s="126">
        <v>33767</v>
      </c>
      <c r="U297" s="126">
        <v>36767</v>
      </c>
      <c r="V297" s="126" t="s">
        <v>641</v>
      </c>
      <c r="W297" s="129" t="s">
        <v>4036</v>
      </c>
      <c r="X297" t="s">
        <v>4037</v>
      </c>
      <c r="Y297" t="s">
        <v>644</v>
      </c>
      <c r="Z297" t="s">
        <v>645</v>
      </c>
    </row>
    <row r="298" spans="1:26" x14ac:dyDescent="0.3">
      <c r="A298" s="126" t="s">
        <v>4038</v>
      </c>
      <c r="B298" s="126" t="s">
        <v>3613</v>
      </c>
      <c r="C298" s="54" t="s">
        <v>628</v>
      </c>
      <c r="D298" s="127" t="s">
        <v>4039</v>
      </c>
      <c r="E298" s="126">
        <v>71874</v>
      </c>
      <c r="F298" s="126">
        <v>39</v>
      </c>
      <c r="G298" s="126">
        <v>3804</v>
      </c>
      <c r="H298" s="126" t="s">
        <v>630</v>
      </c>
      <c r="I298" s="126" t="s">
        <v>4040</v>
      </c>
      <c r="J298" s="126" t="s">
        <v>4041</v>
      </c>
      <c r="K298" s="126" t="s">
        <v>4042</v>
      </c>
      <c r="L298" s="126" t="s">
        <v>3708</v>
      </c>
      <c r="M298" s="128" t="s">
        <v>4043</v>
      </c>
      <c r="N298" s="126" t="s">
        <v>3620</v>
      </c>
      <c r="O298" s="128" t="s">
        <v>4044</v>
      </c>
      <c r="P298" s="126" t="s">
        <v>4045</v>
      </c>
      <c r="Q298" s="126" t="s">
        <v>4046</v>
      </c>
      <c r="R298" s="126" t="s">
        <v>4047</v>
      </c>
      <c r="S298" s="126">
        <v>3000</v>
      </c>
      <c r="T298" s="126">
        <v>126090</v>
      </c>
      <c r="U298" s="126">
        <v>129090</v>
      </c>
      <c r="V298" s="126" t="s">
        <v>4048</v>
      </c>
      <c r="W298" s="129" t="s">
        <v>4049</v>
      </c>
      <c r="X298" t="s">
        <v>4050</v>
      </c>
      <c r="Y298" t="s">
        <v>644</v>
      </c>
      <c r="Z298" t="s">
        <v>645</v>
      </c>
    </row>
    <row r="299" spans="1:26" x14ac:dyDescent="0.3">
      <c r="A299" s="126" t="s">
        <v>4051</v>
      </c>
      <c r="B299" s="126" t="s">
        <v>3613</v>
      </c>
      <c r="C299" s="54" t="s">
        <v>661</v>
      </c>
      <c r="D299" s="127" t="s">
        <v>4052</v>
      </c>
      <c r="E299" s="126">
        <v>39800</v>
      </c>
      <c r="F299" s="126">
        <v>36</v>
      </c>
      <c r="G299" s="126">
        <v>2097</v>
      </c>
      <c r="H299" s="126" t="s">
        <v>630</v>
      </c>
      <c r="I299" s="126" t="s">
        <v>4053</v>
      </c>
      <c r="J299" s="126" t="s">
        <v>4054</v>
      </c>
      <c r="K299" s="126" t="s">
        <v>4055</v>
      </c>
      <c r="L299" s="126" t="s">
        <v>3841</v>
      </c>
      <c r="M299" s="128" t="s">
        <v>4056</v>
      </c>
      <c r="N299" s="126" t="s">
        <v>3620</v>
      </c>
      <c r="O299" s="128" t="s">
        <v>4057</v>
      </c>
      <c r="P299" s="126" t="s">
        <v>4058</v>
      </c>
      <c r="Q299" s="126" t="s">
        <v>4059</v>
      </c>
      <c r="R299" s="126" t="s">
        <v>4060</v>
      </c>
      <c r="S299" s="126">
        <v>3000</v>
      </c>
      <c r="T299" s="126">
        <v>70534</v>
      </c>
      <c r="U299" s="126">
        <v>73534</v>
      </c>
      <c r="V299" s="126" t="s">
        <v>817</v>
      </c>
      <c r="W299" s="129" t="s">
        <v>4061</v>
      </c>
      <c r="X299" t="s">
        <v>4062</v>
      </c>
      <c r="Y299" t="s">
        <v>644</v>
      </c>
      <c r="Z299" t="s">
        <v>645</v>
      </c>
    </row>
    <row r="300" spans="1:26" x14ac:dyDescent="0.3">
      <c r="A300" s="126" t="s">
        <v>4063</v>
      </c>
      <c r="B300" s="126" t="s">
        <v>3613</v>
      </c>
      <c r="C300" s="54" t="s">
        <v>1335</v>
      </c>
      <c r="D300" s="127" t="s">
        <v>4064</v>
      </c>
      <c r="E300" s="126">
        <v>96600</v>
      </c>
      <c r="F300" s="126">
        <v>36</v>
      </c>
      <c r="G300" s="126">
        <v>3771</v>
      </c>
      <c r="H300" s="126" t="s">
        <v>630</v>
      </c>
      <c r="I300" s="126" t="s">
        <v>4065</v>
      </c>
      <c r="J300" s="126" t="s">
        <v>4066</v>
      </c>
      <c r="K300" s="126" t="s">
        <v>4067</v>
      </c>
      <c r="L300" s="126" t="s">
        <v>3708</v>
      </c>
      <c r="M300" s="128" t="s">
        <v>4068</v>
      </c>
      <c r="N300" s="126" t="s">
        <v>3620</v>
      </c>
      <c r="O300" s="128" t="s">
        <v>4069</v>
      </c>
      <c r="P300" s="126" t="s">
        <v>4070</v>
      </c>
      <c r="Q300" s="126" t="s">
        <v>4071</v>
      </c>
      <c r="R300" s="126" t="s">
        <v>4072</v>
      </c>
      <c r="S300" s="126">
        <v>3000</v>
      </c>
      <c r="T300" s="126">
        <v>121691</v>
      </c>
      <c r="U300" s="126">
        <v>124691</v>
      </c>
      <c r="V300" s="126" t="s">
        <v>641</v>
      </c>
      <c r="W300" s="129" t="s">
        <v>4073</v>
      </c>
      <c r="X300" t="s">
        <v>4074</v>
      </c>
      <c r="Y300" t="s">
        <v>644</v>
      </c>
      <c r="Z300" t="s">
        <v>645</v>
      </c>
    </row>
    <row r="301" spans="1:26" x14ac:dyDescent="0.3">
      <c r="A301" s="126" t="s">
        <v>4075</v>
      </c>
      <c r="B301" s="126" t="s">
        <v>3613</v>
      </c>
      <c r="C301" s="54" t="s">
        <v>661</v>
      </c>
      <c r="D301" s="127" t="s">
        <v>759</v>
      </c>
      <c r="E301" s="126">
        <v>80900</v>
      </c>
      <c r="F301" s="126">
        <v>19</v>
      </c>
      <c r="G301" s="126">
        <v>4730</v>
      </c>
      <c r="H301" s="126" t="s">
        <v>630</v>
      </c>
      <c r="I301" s="126" t="s">
        <v>4076</v>
      </c>
      <c r="J301" s="126" t="s">
        <v>4077</v>
      </c>
      <c r="K301" s="126" t="s">
        <v>4078</v>
      </c>
      <c r="L301" s="126" t="s">
        <v>3841</v>
      </c>
      <c r="M301" s="128" t="s">
        <v>4079</v>
      </c>
      <c r="N301" s="126" t="s">
        <v>3620</v>
      </c>
      <c r="O301" s="128" t="s">
        <v>4080</v>
      </c>
      <c r="P301" s="126" t="s">
        <v>4081</v>
      </c>
      <c r="Q301" s="126" t="s">
        <v>4082</v>
      </c>
      <c r="R301" s="126" t="s">
        <v>4083</v>
      </c>
      <c r="S301" s="126">
        <v>3000</v>
      </c>
      <c r="T301" s="126">
        <v>37844</v>
      </c>
      <c r="U301" s="126">
        <v>40844</v>
      </c>
      <c r="V301" s="126" t="s">
        <v>641</v>
      </c>
      <c r="W301" s="129" t="s">
        <v>4084</v>
      </c>
      <c r="X301" t="s">
        <v>4085</v>
      </c>
      <c r="Y301" t="s">
        <v>644</v>
      </c>
      <c r="Z301" t="s">
        <v>645</v>
      </c>
    </row>
    <row r="302" spans="1:26" x14ac:dyDescent="0.3">
      <c r="A302" s="126" t="s">
        <v>4086</v>
      </c>
      <c r="B302" s="126" t="s">
        <v>3613</v>
      </c>
      <c r="C302" s="54" t="s">
        <v>628</v>
      </c>
      <c r="D302" s="127" t="s">
        <v>4087</v>
      </c>
      <c r="E302" s="126">
        <v>77199</v>
      </c>
      <c r="F302" s="126">
        <v>24</v>
      </c>
      <c r="G302" s="126">
        <v>4375</v>
      </c>
      <c r="H302" s="126" t="s">
        <v>630</v>
      </c>
      <c r="I302" s="126" t="s">
        <v>4088</v>
      </c>
      <c r="J302" s="126" t="s">
        <v>4089</v>
      </c>
      <c r="K302" s="126" t="s">
        <v>4090</v>
      </c>
      <c r="L302" s="126" t="s">
        <v>3683</v>
      </c>
      <c r="M302" s="128" t="s">
        <v>4091</v>
      </c>
      <c r="N302" s="126" t="s">
        <v>3620</v>
      </c>
      <c r="O302" s="128" t="s">
        <v>4092</v>
      </c>
      <c r="P302" s="126" t="s">
        <v>4093</v>
      </c>
      <c r="Q302" s="126" t="s">
        <v>4094</v>
      </c>
      <c r="R302" s="126" t="s">
        <v>4095</v>
      </c>
      <c r="S302" s="126">
        <v>3000</v>
      </c>
      <c r="T302" s="126">
        <v>40043</v>
      </c>
      <c r="U302" s="126">
        <v>43043</v>
      </c>
      <c r="V302" s="126" t="s">
        <v>4096</v>
      </c>
      <c r="W302" s="129" t="s">
        <v>4097</v>
      </c>
      <c r="X302" t="s">
        <v>4098</v>
      </c>
      <c r="Y302" t="s">
        <v>644</v>
      </c>
      <c r="Z302" t="s">
        <v>645</v>
      </c>
    </row>
    <row r="303" spans="1:26" x14ac:dyDescent="0.3">
      <c r="A303" s="126" t="s">
        <v>4099</v>
      </c>
      <c r="B303" s="126" t="s">
        <v>3613</v>
      </c>
      <c r="C303" s="54" t="s">
        <v>1335</v>
      </c>
      <c r="D303" s="127" t="s">
        <v>4100</v>
      </c>
      <c r="E303" s="126">
        <v>54900</v>
      </c>
      <c r="F303" s="126">
        <v>39</v>
      </c>
      <c r="G303" s="126">
        <v>2357</v>
      </c>
      <c r="H303" s="126" t="s">
        <v>630</v>
      </c>
      <c r="I303" s="126" t="s">
        <v>4101</v>
      </c>
      <c r="J303" s="126" t="s">
        <v>4102</v>
      </c>
      <c r="K303" s="126" t="s">
        <v>4103</v>
      </c>
      <c r="L303" s="126" t="s">
        <v>3708</v>
      </c>
      <c r="M303" s="128" t="s">
        <v>4104</v>
      </c>
      <c r="N303" s="126" t="s">
        <v>3620</v>
      </c>
      <c r="O303" s="128" t="s">
        <v>4105</v>
      </c>
      <c r="P303" s="126" t="s">
        <v>4106</v>
      </c>
      <c r="Q303" s="126" t="s">
        <v>4107</v>
      </c>
      <c r="R303" s="126" t="s">
        <v>4108</v>
      </c>
      <c r="S303" s="126">
        <v>3000</v>
      </c>
      <c r="T303" s="126">
        <v>42269</v>
      </c>
      <c r="U303" s="126">
        <v>45269</v>
      </c>
      <c r="V303" s="126" t="s">
        <v>1318</v>
      </c>
      <c r="W303" s="129" t="s">
        <v>4109</v>
      </c>
      <c r="X303" t="s">
        <v>4110</v>
      </c>
      <c r="Y303" t="s">
        <v>644</v>
      </c>
      <c r="Z303" t="s">
        <v>645</v>
      </c>
    </row>
    <row r="304" spans="1:26" x14ac:dyDescent="0.3">
      <c r="A304" s="126" t="s">
        <v>4111</v>
      </c>
      <c r="B304" s="126" t="s">
        <v>3613</v>
      </c>
      <c r="C304" s="54" t="s">
        <v>628</v>
      </c>
      <c r="D304" s="127" t="s">
        <v>4112</v>
      </c>
      <c r="E304" s="126">
        <v>57899</v>
      </c>
      <c r="F304" s="126">
        <v>29</v>
      </c>
      <c r="G304" s="126">
        <v>3026</v>
      </c>
      <c r="H304" s="126" t="s">
        <v>630</v>
      </c>
      <c r="I304" s="126" t="s">
        <v>4113</v>
      </c>
      <c r="J304" s="126" t="s">
        <v>4114</v>
      </c>
      <c r="K304" s="126" t="s">
        <v>4115</v>
      </c>
      <c r="L304" s="126" t="s">
        <v>3708</v>
      </c>
      <c r="M304" s="128" t="s">
        <v>4116</v>
      </c>
      <c r="N304" s="126" t="s">
        <v>3620</v>
      </c>
      <c r="O304" s="128" t="s">
        <v>4117</v>
      </c>
      <c r="P304" s="126" t="s">
        <v>4118</v>
      </c>
      <c r="Q304" s="126" t="s">
        <v>4119</v>
      </c>
      <c r="R304" s="126" t="s">
        <v>4120</v>
      </c>
      <c r="S304" s="126">
        <v>3000</v>
      </c>
      <c r="T304" s="126">
        <v>49570</v>
      </c>
      <c r="U304" s="126">
        <v>52570</v>
      </c>
      <c r="V304" s="126" t="s">
        <v>1019</v>
      </c>
      <c r="W304" s="129" t="s">
        <v>4121</v>
      </c>
      <c r="X304" t="s">
        <v>4122</v>
      </c>
      <c r="Y304" t="s">
        <v>644</v>
      </c>
      <c r="Z304" t="s">
        <v>645</v>
      </c>
    </row>
    <row r="305" spans="1:26" x14ac:dyDescent="0.3">
      <c r="A305" s="126" t="s">
        <v>4123</v>
      </c>
      <c r="B305" s="126" t="s">
        <v>3613</v>
      </c>
      <c r="C305" s="54" t="s">
        <v>661</v>
      </c>
      <c r="D305" s="127" t="s">
        <v>4124</v>
      </c>
      <c r="E305" s="126">
        <v>87000</v>
      </c>
      <c r="F305" s="126">
        <v>24</v>
      </c>
      <c r="G305" s="126">
        <v>4471</v>
      </c>
      <c r="H305" s="126" t="s">
        <v>630</v>
      </c>
      <c r="I305" s="126" t="s">
        <v>4125</v>
      </c>
      <c r="J305" s="126" t="s">
        <v>4126</v>
      </c>
      <c r="K305" s="126" t="s">
        <v>4127</v>
      </c>
      <c r="L305" s="126" t="s">
        <v>3708</v>
      </c>
      <c r="M305" s="128" t="s">
        <v>4128</v>
      </c>
      <c r="N305" s="126" t="s">
        <v>3620</v>
      </c>
      <c r="O305" s="128" t="s">
        <v>4129</v>
      </c>
      <c r="P305" s="126" t="s">
        <v>4130</v>
      </c>
      <c r="Q305" s="126" t="s">
        <v>4131</v>
      </c>
      <c r="R305" s="126" t="s">
        <v>4132</v>
      </c>
      <c r="S305" s="126">
        <v>3000</v>
      </c>
      <c r="T305" s="126">
        <v>69673</v>
      </c>
      <c r="U305" s="126">
        <v>72673</v>
      </c>
      <c r="V305" s="126" t="s">
        <v>3761</v>
      </c>
      <c r="W305" s="129" t="s">
        <v>4133</v>
      </c>
      <c r="X305" t="s">
        <v>4134</v>
      </c>
      <c r="Y305" t="s">
        <v>644</v>
      </c>
      <c r="Z305" t="s">
        <v>645</v>
      </c>
    </row>
    <row r="306" spans="1:26" x14ac:dyDescent="0.3">
      <c r="A306" s="126" t="s">
        <v>4135</v>
      </c>
      <c r="B306" s="126" t="s">
        <v>3613</v>
      </c>
      <c r="C306" s="1" t="s">
        <v>682</v>
      </c>
      <c r="D306" s="127" t="s">
        <v>2996</v>
      </c>
      <c r="E306" s="126">
        <v>36685</v>
      </c>
      <c r="F306" s="126">
        <v>28</v>
      </c>
      <c r="G306" s="126">
        <v>2085</v>
      </c>
      <c r="H306" s="126" t="s">
        <v>630</v>
      </c>
      <c r="I306" s="126" t="s">
        <v>4136</v>
      </c>
      <c r="J306" s="126" t="s">
        <v>4137</v>
      </c>
      <c r="K306" s="126" t="s">
        <v>4138</v>
      </c>
      <c r="L306" s="126" t="s">
        <v>3708</v>
      </c>
      <c r="M306" s="128" t="s">
        <v>4139</v>
      </c>
      <c r="N306" s="126" t="s">
        <v>3620</v>
      </c>
      <c r="O306" s="128" t="s">
        <v>4140</v>
      </c>
      <c r="P306" s="126" t="s">
        <v>4141</v>
      </c>
      <c r="Q306" s="126" t="s">
        <v>4142</v>
      </c>
      <c r="R306" s="126" t="s">
        <v>4143</v>
      </c>
      <c r="S306" s="126">
        <v>0</v>
      </c>
      <c r="T306" s="126">
        <v>26593</v>
      </c>
      <c r="U306" s="126">
        <v>26593</v>
      </c>
      <c r="V306" s="126" t="s">
        <v>685</v>
      </c>
      <c r="W306" s="129" t="s">
        <v>4144</v>
      </c>
      <c r="X306" t="s">
        <v>4145</v>
      </c>
      <c r="Y306" t="s">
        <v>644</v>
      </c>
      <c r="Z306" t="s">
        <v>645</v>
      </c>
    </row>
    <row r="307" spans="1:26" x14ac:dyDescent="0.3">
      <c r="A307" s="126" t="s">
        <v>4146</v>
      </c>
      <c r="B307" s="126" t="s">
        <v>3613</v>
      </c>
      <c r="C307" s="54" t="s">
        <v>702</v>
      </c>
      <c r="D307" s="127" t="s">
        <v>4147</v>
      </c>
      <c r="E307" s="126">
        <v>68983</v>
      </c>
      <c r="F307" s="126">
        <v>24</v>
      </c>
      <c r="G307" s="126">
        <v>3648</v>
      </c>
      <c r="H307" s="126" t="s">
        <v>630</v>
      </c>
      <c r="I307" s="126" t="s">
        <v>4148</v>
      </c>
      <c r="J307" s="126" t="s">
        <v>4149</v>
      </c>
      <c r="K307" s="126" t="s">
        <v>4150</v>
      </c>
      <c r="L307" s="126" t="s">
        <v>3708</v>
      </c>
      <c r="M307" s="128" t="s">
        <v>4151</v>
      </c>
      <c r="N307" s="126" t="s">
        <v>3620</v>
      </c>
      <c r="O307" s="128" t="s">
        <v>4152</v>
      </c>
      <c r="P307" s="126" t="s">
        <v>4153</v>
      </c>
      <c r="Q307" s="126" t="s">
        <v>4154</v>
      </c>
      <c r="R307" s="126" t="s">
        <v>4155</v>
      </c>
      <c r="S307" s="126">
        <v>3000</v>
      </c>
      <c r="T307" s="126">
        <v>88668</v>
      </c>
      <c r="U307" s="126">
        <v>91668</v>
      </c>
      <c r="V307" s="126" t="s">
        <v>4156</v>
      </c>
      <c r="W307" s="129" t="s">
        <v>4157</v>
      </c>
      <c r="X307" t="s">
        <v>4158</v>
      </c>
      <c r="Y307" t="s">
        <v>644</v>
      </c>
      <c r="Z307" t="s">
        <v>645</v>
      </c>
    </row>
    <row r="308" spans="1:26" x14ac:dyDescent="0.3">
      <c r="A308" s="126" t="s">
        <v>4159</v>
      </c>
      <c r="B308" s="126" t="s">
        <v>3613</v>
      </c>
      <c r="C308" s="54" t="s">
        <v>628</v>
      </c>
      <c r="D308" s="127" t="s">
        <v>4160</v>
      </c>
      <c r="E308" s="126">
        <v>491250</v>
      </c>
      <c r="F308" s="126">
        <v>48</v>
      </c>
      <c r="G308" s="126">
        <v>13424</v>
      </c>
      <c r="H308" s="126" t="s">
        <v>630</v>
      </c>
      <c r="I308" s="126" t="s">
        <v>4161</v>
      </c>
      <c r="J308" s="126" t="s">
        <v>4162</v>
      </c>
      <c r="K308" s="126" t="s">
        <v>4163</v>
      </c>
      <c r="L308" s="126" t="s">
        <v>3708</v>
      </c>
      <c r="M308" s="128" t="s">
        <v>4164</v>
      </c>
      <c r="N308" s="126" t="s">
        <v>3620</v>
      </c>
      <c r="O308" s="128" t="s">
        <v>4165</v>
      </c>
      <c r="P308" s="126" t="s">
        <v>4166</v>
      </c>
      <c r="Q308" s="126" t="s">
        <v>4167</v>
      </c>
      <c r="R308" s="126" t="s">
        <v>4168</v>
      </c>
      <c r="S308" s="126">
        <v>15000</v>
      </c>
      <c r="T308" s="126">
        <v>1044549</v>
      </c>
      <c r="U308" s="126">
        <v>1059549</v>
      </c>
      <c r="V308" s="126" t="s">
        <v>4169</v>
      </c>
      <c r="W308" s="129" t="s">
        <v>4170</v>
      </c>
      <c r="X308" t="s">
        <v>4171</v>
      </c>
      <c r="Y308" t="s">
        <v>644</v>
      </c>
      <c r="Z308" t="s">
        <v>645</v>
      </c>
    </row>
    <row r="309" spans="1:26" x14ac:dyDescent="0.3">
      <c r="A309" s="1" t="s">
        <v>4172</v>
      </c>
      <c r="B309" s="126" t="s">
        <v>3613</v>
      </c>
      <c r="C309" s="54" t="s">
        <v>2544</v>
      </c>
      <c r="D309" s="127" t="s">
        <v>4173</v>
      </c>
      <c r="E309" s="1">
        <v>47019</v>
      </c>
      <c r="F309" s="1">
        <v>19</v>
      </c>
      <c r="G309" s="1">
        <v>3200</v>
      </c>
      <c r="H309" s="1" t="s">
        <v>630</v>
      </c>
      <c r="I309" s="1" t="s">
        <v>4174</v>
      </c>
      <c r="J309" s="1" t="s">
        <v>4175</v>
      </c>
      <c r="K309" s="126" t="s">
        <v>4176</v>
      </c>
      <c r="L309" s="1" t="s">
        <v>4177</v>
      </c>
      <c r="M309" s="131">
        <v>561208</v>
      </c>
      <c r="N309" s="126" t="s">
        <v>3620</v>
      </c>
      <c r="O309" s="131">
        <v>9901232511</v>
      </c>
      <c r="P309" s="1" t="s">
        <v>4178</v>
      </c>
      <c r="Q309" s="1" t="s">
        <v>4179</v>
      </c>
      <c r="R309" s="1" t="s">
        <v>4180</v>
      </c>
      <c r="S309" s="1">
        <v>3000</v>
      </c>
      <c r="T309" s="1">
        <v>54199</v>
      </c>
      <c r="U309" s="1">
        <v>57199</v>
      </c>
      <c r="V309" s="1" t="s">
        <v>2347</v>
      </c>
      <c r="W309" s="129" t="s">
        <v>4181</v>
      </c>
      <c r="X309" t="s">
        <v>4182</v>
      </c>
      <c r="Y309" t="s">
        <v>644</v>
      </c>
      <c r="Z309" t="s">
        <v>645</v>
      </c>
    </row>
    <row r="310" spans="1:26" x14ac:dyDescent="0.3">
      <c r="A310" s="1" t="s">
        <v>4183</v>
      </c>
      <c r="B310" s="126" t="s">
        <v>3613</v>
      </c>
      <c r="C310" s="54" t="s">
        <v>2565</v>
      </c>
      <c r="D310" s="127" t="s">
        <v>4184</v>
      </c>
      <c r="E310" s="1">
        <v>121899</v>
      </c>
      <c r="F310" s="1">
        <v>30</v>
      </c>
      <c r="G310" s="1">
        <v>5440</v>
      </c>
      <c r="H310" s="1" t="s">
        <v>630</v>
      </c>
      <c r="I310" s="1" t="s">
        <v>4185</v>
      </c>
      <c r="J310" s="1" t="s">
        <v>4186</v>
      </c>
      <c r="K310" s="126" t="s">
        <v>4187</v>
      </c>
      <c r="L310" s="1" t="s">
        <v>3708</v>
      </c>
      <c r="M310" s="131">
        <v>560017</v>
      </c>
      <c r="N310" s="126" t="s">
        <v>3620</v>
      </c>
      <c r="O310" s="131">
        <v>6000615416</v>
      </c>
      <c r="P310" s="1" t="s">
        <v>4188</v>
      </c>
      <c r="Q310" s="1" t="s">
        <v>4189</v>
      </c>
      <c r="R310" s="1" t="s">
        <v>4190</v>
      </c>
      <c r="S310" s="1">
        <v>3000</v>
      </c>
      <c r="T310" s="1">
        <v>161796</v>
      </c>
      <c r="U310" s="1">
        <v>164796</v>
      </c>
      <c r="V310" s="1" t="s">
        <v>4191</v>
      </c>
      <c r="W310" s="129" t="s">
        <v>4192</v>
      </c>
      <c r="X310" t="s">
        <v>4193</v>
      </c>
      <c r="Y310" t="s">
        <v>644</v>
      </c>
      <c r="Z310" t="s">
        <v>645</v>
      </c>
    </row>
    <row r="311" spans="1:26" x14ac:dyDescent="0.3">
      <c r="A311" s="1" t="s">
        <v>4194</v>
      </c>
      <c r="B311" s="126" t="s">
        <v>3613</v>
      </c>
      <c r="C311" s="54" t="s">
        <v>2544</v>
      </c>
      <c r="D311" s="127" t="s">
        <v>4195</v>
      </c>
      <c r="E311" s="1">
        <v>100000</v>
      </c>
      <c r="F311" s="1">
        <v>36</v>
      </c>
      <c r="G311" s="1">
        <v>4118</v>
      </c>
      <c r="H311" s="1" t="s">
        <v>630</v>
      </c>
      <c r="I311" s="1" t="s">
        <v>4196</v>
      </c>
      <c r="J311" s="1" t="s">
        <v>4197</v>
      </c>
      <c r="K311" s="126" t="s">
        <v>4198</v>
      </c>
      <c r="L311" s="1" t="s">
        <v>3708</v>
      </c>
      <c r="M311" s="131">
        <v>560023</v>
      </c>
      <c r="N311" s="126" t="s">
        <v>3620</v>
      </c>
      <c r="O311" s="131">
        <v>9480025223</v>
      </c>
      <c r="P311" s="1" t="s">
        <v>4199</v>
      </c>
      <c r="Q311" s="1" t="s">
        <v>4200</v>
      </c>
      <c r="R311" s="1" t="s">
        <v>4201</v>
      </c>
      <c r="S311" s="1">
        <v>3000</v>
      </c>
      <c r="T311" s="1">
        <v>148018</v>
      </c>
      <c r="U311" s="1">
        <v>151018</v>
      </c>
      <c r="V311" s="1" t="s">
        <v>1675</v>
      </c>
      <c r="W311" s="129" t="s">
        <v>4202</v>
      </c>
      <c r="X311" t="s">
        <v>4203</v>
      </c>
      <c r="Y311" t="s">
        <v>644</v>
      </c>
      <c r="Z311" t="s">
        <v>645</v>
      </c>
    </row>
    <row r="312" spans="1:26" x14ac:dyDescent="0.3">
      <c r="A312" s="1" t="s">
        <v>4204</v>
      </c>
      <c r="B312" s="126" t="s">
        <v>3613</v>
      </c>
      <c r="C312" s="54" t="s">
        <v>2254</v>
      </c>
      <c r="D312" s="127" t="s">
        <v>4205</v>
      </c>
      <c r="E312" s="1">
        <v>48400</v>
      </c>
      <c r="F312" s="1">
        <v>25</v>
      </c>
      <c r="G312" s="1">
        <v>2685</v>
      </c>
      <c r="H312" s="1" t="s">
        <v>630</v>
      </c>
      <c r="I312" s="1" t="s">
        <v>4206</v>
      </c>
      <c r="J312" s="1" t="s">
        <v>4207</v>
      </c>
      <c r="K312" s="126" t="s">
        <v>4208</v>
      </c>
      <c r="L312" s="1" t="s">
        <v>3841</v>
      </c>
      <c r="M312" s="131">
        <v>572217</v>
      </c>
      <c r="N312" s="126" t="s">
        <v>3620</v>
      </c>
      <c r="O312" s="131">
        <v>9740298035</v>
      </c>
      <c r="P312" s="1" t="s">
        <v>4209</v>
      </c>
      <c r="Q312" s="1" t="s">
        <v>4210</v>
      </c>
      <c r="R312" s="1" t="s">
        <v>4211</v>
      </c>
      <c r="S312" s="1">
        <v>3000</v>
      </c>
      <c r="T312" s="1">
        <v>18605</v>
      </c>
      <c r="U312" s="1">
        <v>21605</v>
      </c>
      <c r="V312" s="1" t="s">
        <v>4212</v>
      </c>
      <c r="W312" s="129" t="s">
        <v>4213</v>
      </c>
      <c r="X312" t="s">
        <v>4214</v>
      </c>
      <c r="Y312" t="s">
        <v>644</v>
      </c>
      <c r="Z312" t="s">
        <v>645</v>
      </c>
    </row>
    <row r="313" spans="1:26" x14ac:dyDescent="0.3">
      <c r="A313" s="1" t="s">
        <v>4215</v>
      </c>
      <c r="B313" s="126" t="s">
        <v>3613</v>
      </c>
      <c r="C313" s="54" t="s">
        <v>2565</v>
      </c>
      <c r="D313" s="127" t="s">
        <v>4216</v>
      </c>
      <c r="E313" s="1">
        <v>110900</v>
      </c>
      <c r="F313" s="1">
        <v>36</v>
      </c>
      <c r="G313" s="1">
        <v>4375</v>
      </c>
      <c r="H313" s="1" t="s">
        <v>630</v>
      </c>
      <c r="I313" s="1" t="s">
        <v>4217</v>
      </c>
      <c r="J313" s="1" t="s">
        <v>4218</v>
      </c>
      <c r="K313" s="126" t="s">
        <v>4219</v>
      </c>
      <c r="L313" s="1" t="s">
        <v>3708</v>
      </c>
      <c r="M313" s="131">
        <v>560041</v>
      </c>
      <c r="N313" s="126" t="s">
        <v>3620</v>
      </c>
      <c r="O313" s="131">
        <v>9980530227</v>
      </c>
      <c r="P313" s="1" t="s">
        <v>4220</v>
      </c>
      <c r="Q313" s="1" t="s">
        <v>4221</v>
      </c>
      <c r="R313" s="1" t="s">
        <v>4222</v>
      </c>
      <c r="S313" s="1">
        <v>3000</v>
      </c>
      <c r="T313" s="1">
        <v>107915</v>
      </c>
      <c r="U313" s="1">
        <v>110915</v>
      </c>
      <c r="V313" s="1" t="s">
        <v>2903</v>
      </c>
      <c r="W313" s="129" t="s">
        <v>4223</v>
      </c>
      <c r="X313" t="s">
        <v>4224</v>
      </c>
      <c r="Y313" t="s">
        <v>644</v>
      </c>
      <c r="Z313" t="s">
        <v>645</v>
      </c>
    </row>
    <row r="314" spans="1:26" x14ac:dyDescent="0.3">
      <c r="A314" s="1" t="s">
        <v>4225</v>
      </c>
      <c r="B314" s="126" t="s">
        <v>3613</v>
      </c>
      <c r="C314" s="54" t="s">
        <v>2565</v>
      </c>
      <c r="D314" s="127" t="s">
        <v>4226</v>
      </c>
      <c r="E314" s="1">
        <v>88900</v>
      </c>
      <c r="F314" s="1">
        <v>24</v>
      </c>
      <c r="G314" s="1">
        <v>4634</v>
      </c>
      <c r="H314" s="1" t="s">
        <v>630</v>
      </c>
      <c r="I314" s="1" t="s">
        <v>4227</v>
      </c>
      <c r="J314" s="1" t="s">
        <v>4228</v>
      </c>
      <c r="K314" s="126" t="s">
        <v>4229</v>
      </c>
      <c r="L314" s="1" t="s">
        <v>3708</v>
      </c>
      <c r="M314" s="131">
        <v>560002</v>
      </c>
      <c r="N314" s="126" t="s">
        <v>3620</v>
      </c>
      <c r="O314" s="131">
        <v>9880486249</v>
      </c>
      <c r="P314" s="1" t="s">
        <v>4230</v>
      </c>
      <c r="Q314" s="1" t="s">
        <v>4231</v>
      </c>
      <c r="R314" s="1" t="s">
        <v>4232</v>
      </c>
      <c r="S314" s="1">
        <v>3000</v>
      </c>
      <c r="T314" s="1">
        <v>39967</v>
      </c>
      <c r="U314" s="1">
        <v>42967</v>
      </c>
      <c r="V314" s="1" t="s">
        <v>641</v>
      </c>
      <c r="W314" s="129" t="s">
        <v>4233</v>
      </c>
      <c r="X314" t="s">
        <v>4234</v>
      </c>
      <c r="Y314" t="s">
        <v>644</v>
      </c>
      <c r="Z314" t="s">
        <v>645</v>
      </c>
    </row>
    <row r="315" spans="1:26" x14ac:dyDescent="0.3">
      <c r="A315" s="1" t="s">
        <v>4235</v>
      </c>
      <c r="B315" s="126" t="s">
        <v>3613</v>
      </c>
      <c r="C315" s="54" t="s">
        <v>2254</v>
      </c>
      <c r="D315" s="127" t="s">
        <v>4236</v>
      </c>
      <c r="E315" s="1">
        <v>118400</v>
      </c>
      <c r="F315" s="1">
        <v>36</v>
      </c>
      <c r="G315" s="1">
        <v>4681</v>
      </c>
      <c r="H315" s="1" t="s">
        <v>630</v>
      </c>
      <c r="I315" s="1" t="s">
        <v>4237</v>
      </c>
      <c r="J315" s="1" t="s">
        <v>4238</v>
      </c>
      <c r="K315" s="126" t="s">
        <v>4239</v>
      </c>
      <c r="L315" s="1" t="s">
        <v>3841</v>
      </c>
      <c r="M315" s="131">
        <v>572120</v>
      </c>
      <c r="N315" s="126" t="s">
        <v>3620</v>
      </c>
      <c r="O315" s="131">
        <v>9164160238</v>
      </c>
      <c r="P315" s="1" t="s">
        <v>682</v>
      </c>
      <c r="Q315" s="1" t="s">
        <v>4240</v>
      </c>
      <c r="R315" s="1" t="s">
        <v>4241</v>
      </c>
      <c r="S315" s="1">
        <v>3000</v>
      </c>
      <c r="T315" s="1">
        <v>147961</v>
      </c>
      <c r="U315" s="1">
        <v>150961</v>
      </c>
      <c r="V315" s="1" t="s">
        <v>4242</v>
      </c>
      <c r="W315" s="129" t="s">
        <v>4243</v>
      </c>
      <c r="X315" t="s">
        <v>4244</v>
      </c>
      <c r="Y315" t="s">
        <v>644</v>
      </c>
      <c r="Z315" t="s">
        <v>645</v>
      </c>
    </row>
    <row r="316" spans="1:26" x14ac:dyDescent="0.3">
      <c r="A316" s="1" t="s">
        <v>4245</v>
      </c>
      <c r="B316" s="126" t="s">
        <v>3613</v>
      </c>
      <c r="C316" s="54" t="s">
        <v>2565</v>
      </c>
      <c r="D316" s="127" t="s">
        <v>4246</v>
      </c>
      <c r="E316" s="1">
        <v>80580</v>
      </c>
      <c r="F316" s="1">
        <v>30</v>
      </c>
      <c r="G316" s="1">
        <v>3722</v>
      </c>
      <c r="H316" s="1" t="s">
        <v>630</v>
      </c>
      <c r="I316" s="1" t="s">
        <v>4247</v>
      </c>
      <c r="J316" s="1" t="s">
        <v>4248</v>
      </c>
      <c r="K316" s="126" t="s">
        <v>4249</v>
      </c>
      <c r="L316" s="1" t="s">
        <v>3708</v>
      </c>
      <c r="M316" s="131">
        <v>560066</v>
      </c>
      <c r="N316" s="126" t="s">
        <v>3620</v>
      </c>
      <c r="O316" s="131">
        <v>8296638871</v>
      </c>
      <c r="P316" s="1" t="s">
        <v>4250</v>
      </c>
      <c r="Q316" s="1" t="s">
        <v>4251</v>
      </c>
      <c r="R316" s="1" t="s">
        <v>4252</v>
      </c>
      <c r="S316" s="1">
        <v>3000</v>
      </c>
      <c r="T316" s="1">
        <v>62209</v>
      </c>
      <c r="U316" s="1">
        <v>65209</v>
      </c>
      <c r="V316" s="1" t="s">
        <v>641</v>
      </c>
      <c r="W316" s="129" t="s">
        <v>4253</v>
      </c>
      <c r="X316" t="s">
        <v>4254</v>
      </c>
      <c r="Y316" t="s">
        <v>644</v>
      </c>
      <c r="Z316" t="s">
        <v>645</v>
      </c>
    </row>
    <row r="317" spans="1:26" x14ac:dyDescent="0.3">
      <c r="A317" s="1" t="s">
        <v>4255</v>
      </c>
      <c r="B317" s="126" t="s">
        <v>3613</v>
      </c>
      <c r="C317" s="54" t="s">
        <v>2565</v>
      </c>
      <c r="D317" s="127" t="s">
        <v>4256</v>
      </c>
      <c r="E317" s="1">
        <v>100900</v>
      </c>
      <c r="F317" s="1">
        <v>36</v>
      </c>
      <c r="G317" s="1">
        <v>3825</v>
      </c>
      <c r="H317" s="1" t="s">
        <v>630</v>
      </c>
      <c r="I317" s="1" t="s">
        <v>4257</v>
      </c>
      <c r="J317" s="1" t="s">
        <v>4258</v>
      </c>
      <c r="K317" s="126" t="s">
        <v>4259</v>
      </c>
      <c r="L317" s="1" t="s">
        <v>3708</v>
      </c>
      <c r="M317" s="131">
        <v>562125</v>
      </c>
      <c r="N317" s="126" t="s">
        <v>3620</v>
      </c>
      <c r="O317" s="131">
        <v>9740970231</v>
      </c>
      <c r="P317" s="1" t="s">
        <v>4260</v>
      </c>
      <c r="Q317" s="1" t="s">
        <v>4261</v>
      </c>
      <c r="R317" s="1" t="s">
        <v>4262</v>
      </c>
      <c r="S317" s="1">
        <v>3000</v>
      </c>
      <c r="T317" s="1">
        <v>88038</v>
      </c>
      <c r="U317" s="1">
        <v>91038</v>
      </c>
      <c r="V317" s="1" t="s">
        <v>1369</v>
      </c>
      <c r="W317" s="129" t="s">
        <v>4263</v>
      </c>
      <c r="X317" t="s">
        <v>4264</v>
      </c>
      <c r="Y317" t="s">
        <v>644</v>
      </c>
      <c r="Z317" t="s">
        <v>645</v>
      </c>
    </row>
    <row r="318" spans="1:26" x14ac:dyDescent="0.3">
      <c r="A318" s="1" t="s">
        <v>4265</v>
      </c>
      <c r="B318" s="126" t="s">
        <v>3613</v>
      </c>
      <c r="C318" s="54" t="s">
        <v>2565</v>
      </c>
      <c r="D318" s="127" t="s">
        <v>1976</v>
      </c>
      <c r="E318" s="1">
        <v>47422</v>
      </c>
      <c r="F318" s="1">
        <v>30</v>
      </c>
      <c r="G318" s="1">
        <v>2526</v>
      </c>
      <c r="H318" s="1" t="s">
        <v>630</v>
      </c>
      <c r="I318" s="1" t="s">
        <v>4266</v>
      </c>
      <c r="J318" s="1" t="s">
        <v>4267</v>
      </c>
      <c r="K318" s="126" t="s">
        <v>4268</v>
      </c>
      <c r="L318" s="1" t="s">
        <v>3708</v>
      </c>
      <c r="M318" s="131">
        <v>560036</v>
      </c>
      <c r="N318" s="126" t="s">
        <v>3620</v>
      </c>
      <c r="O318" s="131">
        <v>9108666399</v>
      </c>
      <c r="P318" s="1" t="s">
        <v>4269</v>
      </c>
      <c r="Q318" s="1" t="s">
        <v>4270</v>
      </c>
      <c r="R318" s="1" t="s">
        <v>4271</v>
      </c>
      <c r="S318" s="1">
        <v>3000</v>
      </c>
      <c r="T318" s="1">
        <v>16652</v>
      </c>
      <c r="U318" s="1">
        <v>19652</v>
      </c>
      <c r="V318" s="1" t="s">
        <v>1005</v>
      </c>
      <c r="W318" s="129" t="s">
        <v>4272</v>
      </c>
      <c r="X318" t="s">
        <v>4273</v>
      </c>
      <c r="Y318" t="s">
        <v>644</v>
      </c>
      <c r="Z318" t="s">
        <v>645</v>
      </c>
    </row>
    <row r="319" spans="1:26" x14ac:dyDescent="0.3">
      <c r="A319" s="1" t="s">
        <v>4274</v>
      </c>
      <c r="B319" s="126" t="s">
        <v>3613</v>
      </c>
      <c r="C319" s="54" t="s">
        <v>1335</v>
      </c>
      <c r="D319" s="127" t="s">
        <v>2626</v>
      </c>
      <c r="E319" s="1">
        <v>58900</v>
      </c>
      <c r="F319" s="1">
        <v>36</v>
      </c>
      <c r="G319" s="1">
        <v>2617</v>
      </c>
      <c r="H319" s="1" t="s">
        <v>630</v>
      </c>
      <c r="I319" s="1" t="s">
        <v>4275</v>
      </c>
      <c r="J319" s="1" t="s">
        <v>4276</v>
      </c>
      <c r="K319" s="126" t="s">
        <v>4277</v>
      </c>
      <c r="L319" s="1" t="s">
        <v>3708</v>
      </c>
      <c r="M319" s="131">
        <v>560056</v>
      </c>
      <c r="N319" s="126" t="s">
        <v>3620</v>
      </c>
      <c r="O319" s="131">
        <v>9901373521</v>
      </c>
      <c r="P319" s="1" t="s">
        <v>4278</v>
      </c>
      <c r="Q319" s="1" t="s">
        <v>4279</v>
      </c>
      <c r="R319" s="1" t="s">
        <v>4280</v>
      </c>
      <c r="S319" s="1">
        <v>3000</v>
      </c>
      <c r="T319" s="1">
        <v>8999</v>
      </c>
      <c r="U319" s="1">
        <v>11999</v>
      </c>
      <c r="V319" s="1" t="s">
        <v>657</v>
      </c>
      <c r="W319" s="129" t="s">
        <v>4281</v>
      </c>
      <c r="X319" t="s">
        <v>4282</v>
      </c>
      <c r="Y319" t="s">
        <v>644</v>
      </c>
      <c r="Z319" t="s">
        <v>645</v>
      </c>
    </row>
    <row r="320" spans="1:26" x14ac:dyDescent="0.3">
      <c r="A320" s="1" t="s">
        <v>4283</v>
      </c>
      <c r="B320" s="126" t="s">
        <v>3613</v>
      </c>
      <c r="C320" s="54" t="s">
        <v>2254</v>
      </c>
      <c r="D320" s="127" t="s">
        <v>4284</v>
      </c>
      <c r="E320" s="1">
        <v>42000</v>
      </c>
      <c r="F320" s="1">
        <v>10</v>
      </c>
      <c r="G320" s="1">
        <v>4435</v>
      </c>
      <c r="H320" s="1" t="s">
        <v>630</v>
      </c>
      <c r="I320" s="1" t="s">
        <v>4285</v>
      </c>
      <c r="J320" s="1" t="s">
        <v>4286</v>
      </c>
      <c r="K320" s="126" t="s">
        <v>4287</v>
      </c>
      <c r="L320" s="1" t="s">
        <v>3708</v>
      </c>
      <c r="M320" s="131">
        <v>560067</v>
      </c>
      <c r="N320" s="126" t="s">
        <v>3620</v>
      </c>
      <c r="O320" s="131">
        <v>9164563545</v>
      </c>
      <c r="P320" s="1" t="s">
        <v>4288</v>
      </c>
      <c r="Q320" s="1" t="s">
        <v>4289</v>
      </c>
      <c r="R320" s="1" t="s">
        <v>4290</v>
      </c>
      <c r="S320" s="1">
        <v>3000</v>
      </c>
      <c r="T320" s="1">
        <v>0</v>
      </c>
      <c r="U320" s="1">
        <v>3000</v>
      </c>
      <c r="V320" s="1" t="s">
        <v>1446</v>
      </c>
      <c r="W320" s="129" t="s">
        <v>4291</v>
      </c>
      <c r="X320" t="s">
        <v>4292</v>
      </c>
      <c r="Y320" t="s">
        <v>644</v>
      </c>
      <c r="Z320" t="s">
        <v>645</v>
      </c>
    </row>
    <row r="321" spans="1:26" x14ac:dyDescent="0.3">
      <c r="A321" s="1" t="s">
        <v>4293</v>
      </c>
      <c r="B321" s="126" t="s">
        <v>3613</v>
      </c>
      <c r="C321" s="54" t="s">
        <v>2483</v>
      </c>
      <c r="D321" s="127" t="s">
        <v>4294</v>
      </c>
      <c r="E321" s="1">
        <v>95519</v>
      </c>
      <c r="F321" s="1">
        <v>32</v>
      </c>
      <c r="G321" s="1">
        <v>4163</v>
      </c>
      <c r="H321" s="1" t="s">
        <v>630</v>
      </c>
      <c r="I321" s="1" t="s">
        <v>4295</v>
      </c>
      <c r="J321" s="1" t="s">
        <v>4296</v>
      </c>
      <c r="K321" s="126" t="s">
        <v>4297</v>
      </c>
      <c r="L321" s="1" t="s">
        <v>4177</v>
      </c>
      <c r="M321" s="131">
        <v>561210</v>
      </c>
      <c r="N321" s="126" t="s">
        <v>3620</v>
      </c>
      <c r="O321" s="131">
        <v>9606407550</v>
      </c>
      <c r="P321" s="1" t="s">
        <v>4298</v>
      </c>
      <c r="Q321" s="1" t="s">
        <v>4299</v>
      </c>
      <c r="R321" s="1" t="s">
        <v>4300</v>
      </c>
      <c r="S321" s="1">
        <v>3000</v>
      </c>
      <c r="T321" s="1">
        <v>119350</v>
      </c>
      <c r="U321" s="1">
        <v>122350</v>
      </c>
      <c r="V321" s="1" t="s">
        <v>4301</v>
      </c>
      <c r="W321" s="129" t="s">
        <v>4302</v>
      </c>
      <c r="X321" t="s">
        <v>4303</v>
      </c>
      <c r="Y321" t="s">
        <v>644</v>
      </c>
      <c r="Z321" t="s">
        <v>645</v>
      </c>
    </row>
    <row r="322" spans="1:26" x14ac:dyDescent="0.3">
      <c r="A322" s="1" t="s">
        <v>4304</v>
      </c>
      <c r="B322" s="126" t="s">
        <v>3613</v>
      </c>
      <c r="C322" s="54" t="s">
        <v>2565</v>
      </c>
      <c r="D322" s="127" t="s">
        <v>914</v>
      </c>
      <c r="E322" s="1">
        <v>61800</v>
      </c>
      <c r="F322" s="1">
        <v>40</v>
      </c>
      <c r="G322" s="1">
        <v>2459</v>
      </c>
      <c r="H322" s="1" t="s">
        <v>630</v>
      </c>
      <c r="I322" s="1" t="s">
        <v>4305</v>
      </c>
      <c r="J322" s="1" t="s">
        <v>4306</v>
      </c>
      <c r="K322" s="126" t="s">
        <v>4307</v>
      </c>
      <c r="L322" s="1" t="s">
        <v>3708</v>
      </c>
      <c r="M322" s="131">
        <v>560087</v>
      </c>
      <c r="N322" s="126" t="s">
        <v>3620</v>
      </c>
      <c r="O322" s="131">
        <v>7026824439</v>
      </c>
      <c r="P322" s="1" t="s">
        <v>4308</v>
      </c>
      <c r="Q322" s="1" t="s">
        <v>4309</v>
      </c>
      <c r="R322" s="1" t="s">
        <v>4310</v>
      </c>
      <c r="S322" s="1">
        <v>3000</v>
      </c>
      <c r="T322" s="1">
        <v>44766</v>
      </c>
      <c r="U322" s="1">
        <v>47766</v>
      </c>
      <c r="V322" s="1" t="s">
        <v>657</v>
      </c>
      <c r="W322" s="129" t="s">
        <v>4311</v>
      </c>
      <c r="X322" t="s">
        <v>4312</v>
      </c>
      <c r="Y322" t="s">
        <v>644</v>
      </c>
      <c r="Z322" t="s">
        <v>645</v>
      </c>
    </row>
    <row r="323" spans="1:26" x14ac:dyDescent="0.3">
      <c r="A323" s="1" t="s">
        <v>4313</v>
      </c>
      <c r="B323" s="126" t="s">
        <v>3613</v>
      </c>
      <c r="C323" s="54" t="s">
        <v>1335</v>
      </c>
      <c r="D323" s="127" t="s">
        <v>4314</v>
      </c>
      <c r="E323" s="1">
        <v>67400</v>
      </c>
      <c r="F323" s="1">
        <v>22</v>
      </c>
      <c r="G323" s="1">
        <v>4391</v>
      </c>
      <c r="H323" s="1" t="s">
        <v>630</v>
      </c>
      <c r="I323" s="1" t="s">
        <v>4315</v>
      </c>
      <c r="J323" s="1" t="s">
        <v>4316</v>
      </c>
      <c r="K323" s="126" t="s">
        <v>4317</v>
      </c>
      <c r="L323" s="1" t="s">
        <v>3708</v>
      </c>
      <c r="M323" s="131">
        <v>560016</v>
      </c>
      <c r="N323" s="126" t="s">
        <v>3620</v>
      </c>
      <c r="O323" s="131">
        <v>6362917206</v>
      </c>
      <c r="P323" s="1" t="s">
        <v>682</v>
      </c>
      <c r="Q323" s="1" t="s">
        <v>4318</v>
      </c>
      <c r="R323" s="1" t="s">
        <v>4319</v>
      </c>
      <c r="S323" s="1">
        <v>3000</v>
      </c>
      <c r="T323" s="1">
        <v>76504</v>
      </c>
      <c r="U323" s="1">
        <v>79504</v>
      </c>
      <c r="V323" s="1" t="s">
        <v>698</v>
      </c>
      <c r="W323" s="129" t="s">
        <v>4320</v>
      </c>
      <c r="X323" t="s">
        <v>4321</v>
      </c>
      <c r="Y323" t="s">
        <v>644</v>
      </c>
      <c r="Z323" t="s">
        <v>645</v>
      </c>
    </row>
    <row r="324" spans="1:26" x14ac:dyDescent="0.3">
      <c r="A324" s="1" t="s">
        <v>4322</v>
      </c>
      <c r="B324" s="126" t="s">
        <v>3613</v>
      </c>
      <c r="C324" s="54" t="s">
        <v>2544</v>
      </c>
      <c r="D324" s="127" t="s">
        <v>3445</v>
      </c>
      <c r="E324" s="1">
        <v>74900</v>
      </c>
      <c r="F324" s="1">
        <v>53</v>
      </c>
      <c r="G324" s="1">
        <v>2830</v>
      </c>
      <c r="H324" s="1" t="s">
        <v>630</v>
      </c>
      <c r="I324" s="1" t="s">
        <v>4323</v>
      </c>
      <c r="J324" s="1" t="s">
        <v>4324</v>
      </c>
      <c r="K324" s="126" t="s">
        <v>4325</v>
      </c>
      <c r="L324" s="1" t="s">
        <v>3708</v>
      </c>
      <c r="M324" s="131">
        <v>560100</v>
      </c>
      <c r="N324" s="126" t="s">
        <v>3620</v>
      </c>
      <c r="O324" s="131">
        <v>6362085684</v>
      </c>
      <c r="P324" s="1" t="s">
        <v>4326</v>
      </c>
      <c r="Q324" s="1" t="s">
        <v>4327</v>
      </c>
      <c r="R324" s="1" t="s">
        <v>4328</v>
      </c>
      <c r="S324" s="1">
        <v>3000</v>
      </c>
      <c r="T324" s="1">
        <v>130510</v>
      </c>
      <c r="U324" s="1">
        <v>133510</v>
      </c>
      <c r="V324" s="1" t="s">
        <v>1318</v>
      </c>
      <c r="W324" s="129" t="s">
        <v>4329</v>
      </c>
      <c r="X324" t="s">
        <v>4330</v>
      </c>
      <c r="Y324" t="s">
        <v>644</v>
      </c>
      <c r="Z324" t="s">
        <v>645</v>
      </c>
    </row>
    <row r="325" spans="1:26" x14ac:dyDescent="0.3">
      <c r="A325" s="1" t="s">
        <v>4331</v>
      </c>
      <c r="B325" s="126" t="s">
        <v>3613</v>
      </c>
      <c r="C325" s="54" t="s">
        <v>2757</v>
      </c>
      <c r="D325" s="127" t="s">
        <v>1450</v>
      </c>
      <c r="E325" s="1">
        <v>81299</v>
      </c>
      <c r="F325" s="1">
        <v>24</v>
      </c>
      <c r="G325" s="1">
        <v>4238</v>
      </c>
      <c r="H325" s="1" t="s">
        <v>630</v>
      </c>
      <c r="I325" s="1" t="s">
        <v>4332</v>
      </c>
      <c r="J325" s="1" t="s">
        <v>4333</v>
      </c>
      <c r="K325" s="126" t="s">
        <v>4334</v>
      </c>
      <c r="L325" s="1" t="s">
        <v>3828</v>
      </c>
      <c r="M325" s="131">
        <v>562123</v>
      </c>
      <c r="N325" s="126" t="s">
        <v>3620</v>
      </c>
      <c r="O325" s="131">
        <v>7022779537</v>
      </c>
      <c r="P325" s="1" t="s">
        <v>4335</v>
      </c>
      <c r="Q325" s="1" t="s">
        <v>4336</v>
      </c>
      <c r="R325" s="1" t="s">
        <v>4337</v>
      </c>
      <c r="S325" s="1">
        <v>3000</v>
      </c>
      <c r="T325" s="1">
        <v>45127</v>
      </c>
      <c r="U325" s="1">
        <v>48127</v>
      </c>
      <c r="V325" s="1" t="s">
        <v>4096</v>
      </c>
      <c r="W325" s="129" t="s">
        <v>4338</v>
      </c>
      <c r="X325" t="s">
        <v>4339</v>
      </c>
      <c r="Y325" t="s">
        <v>644</v>
      </c>
      <c r="Z325" t="s">
        <v>645</v>
      </c>
    </row>
    <row r="326" spans="1:26" x14ac:dyDescent="0.3">
      <c r="A326" s="1" t="s">
        <v>4340</v>
      </c>
      <c r="B326" s="126" t="s">
        <v>3613</v>
      </c>
      <c r="C326" s="54" t="s">
        <v>2544</v>
      </c>
      <c r="D326" s="127" t="s">
        <v>4341</v>
      </c>
      <c r="E326" s="1">
        <v>68559</v>
      </c>
      <c r="F326" s="1">
        <v>24</v>
      </c>
      <c r="G326" s="1">
        <v>3615</v>
      </c>
      <c r="H326" s="1" t="s">
        <v>630</v>
      </c>
      <c r="I326" s="1" t="s">
        <v>4342</v>
      </c>
      <c r="J326" s="1" t="s">
        <v>3706</v>
      </c>
      <c r="K326" s="126" t="s">
        <v>4343</v>
      </c>
      <c r="L326" s="1" t="s">
        <v>3708</v>
      </c>
      <c r="M326" s="131">
        <v>560083</v>
      </c>
      <c r="N326" s="126" t="s">
        <v>3620</v>
      </c>
      <c r="O326" s="131">
        <v>9611599947</v>
      </c>
      <c r="P326" s="1" t="s">
        <v>4344</v>
      </c>
      <c r="Q326" s="1" t="s">
        <v>4345</v>
      </c>
      <c r="R326" s="1" t="s">
        <v>4346</v>
      </c>
      <c r="S326" s="1">
        <v>3000</v>
      </c>
      <c r="T326" s="1">
        <v>28590</v>
      </c>
      <c r="U326" s="1">
        <v>31590</v>
      </c>
      <c r="V326" s="1" t="s">
        <v>2312</v>
      </c>
      <c r="W326" s="129" t="s">
        <v>4347</v>
      </c>
      <c r="X326" t="s">
        <v>4348</v>
      </c>
      <c r="Y326" t="s">
        <v>644</v>
      </c>
      <c r="Z326" t="s">
        <v>645</v>
      </c>
    </row>
    <row r="327" spans="1:26" x14ac:dyDescent="0.3">
      <c r="A327" s="1" t="s">
        <v>4349</v>
      </c>
      <c r="B327" s="126" t="s">
        <v>3613</v>
      </c>
      <c r="C327" s="54" t="s">
        <v>2565</v>
      </c>
      <c r="D327" s="127" t="s">
        <v>4350</v>
      </c>
      <c r="E327" s="1">
        <v>50000</v>
      </c>
      <c r="F327" s="1">
        <v>24</v>
      </c>
      <c r="G327" s="1">
        <v>2803</v>
      </c>
      <c r="H327" s="1" t="s">
        <v>630</v>
      </c>
      <c r="I327" s="1" t="s">
        <v>4351</v>
      </c>
      <c r="J327" s="1" t="s">
        <v>4352</v>
      </c>
      <c r="K327" s="126" t="s">
        <v>4353</v>
      </c>
      <c r="L327" s="1" t="s">
        <v>3708</v>
      </c>
      <c r="M327" s="131">
        <v>560062</v>
      </c>
      <c r="N327" s="126" t="s">
        <v>3620</v>
      </c>
      <c r="O327" s="131">
        <v>8553162605</v>
      </c>
      <c r="P327" s="1" t="s">
        <v>4354</v>
      </c>
      <c r="Q327" s="1" t="s">
        <v>4355</v>
      </c>
      <c r="R327" s="1" t="s">
        <v>4356</v>
      </c>
      <c r="S327" s="1">
        <v>3000</v>
      </c>
      <c r="T327" s="1">
        <v>41998</v>
      </c>
      <c r="U327" s="1">
        <v>44998</v>
      </c>
      <c r="V327" s="1" t="s">
        <v>657</v>
      </c>
      <c r="W327" s="129" t="s">
        <v>4357</v>
      </c>
      <c r="X327" t="s">
        <v>4358</v>
      </c>
      <c r="Y327" t="s">
        <v>644</v>
      </c>
      <c r="Z327" t="s">
        <v>645</v>
      </c>
    </row>
    <row r="328" spans="1:26" x14ac:dyDescent="0.3">
      <c r="A328" s="1" t="s">
        <v>4359</v>
      </c>
      <c r="B328" s="126" t="s">
        <v>3613</v>
      </c>
      <c r="C328" s="54" t="s">
        <v>2254</v>
      </c>
      <c r="D328" s="127" t="s">
        <v>4360</v>
      </c>
      <c r="E328" s="1">
        <v>83907</v>
      </c>
      <c r="F328" s="1">
        <v>36</v>
      </c>
      <c r="G328" s="1">
        <v>3270</v>
      </c>
      <c r="H328" s="1" t="s">
        <v>630</v>
      </c>
      <c r="I328" s="1" t="s">
        <v>4361</v>
      </c>
      <c r="J328" s="1" t="s">
        <v>4362</v>
      </c>
      <c r="K328" s="126" t="s">
        <v>4363</v>
      </c>
      <c r="L328" s="1" t="s">
        <v>3708</v>
      </c>
      <c r="M328" s="131">
        <v>560032</v>
      </c>
      <c r="N328" s="126" t="s">
        <v>3620</v>
      </c>
      <c r="O328" s="131">
        <v>9742356906</v>
      </c>
      <c r="P328" s="1" t="s">
        <v>4364</v>
      </c>
      <c r="Q328" s="1" t="s">
        <v>4365</v>
      </c>
      <c r="R328" s="1" t="s">
        <v>4366</v>
      </c>
      <c r="S328" s="1">
        <v>3000</v>
      </c>
      <c r="T328" s="1">
        <v>70643</v>
      </c>
      <c r="U328" s="1">
        <v>73643</v>
      </c>
      <c r="V328" s="1" t="s">
        <v>4096</v>
      </c>
      <c r="W328" s="129" t="s">
        <v>4367</v>
      </c>
      <c r="X328" t="s">
        <v>4368</v>
      </c>
      <c r="Y328" t="s">
        <v>644</v>
      </c>
      <c r="Z328" t="s">
        <v>645</v>
      </c>
    </row>
    <row r="329" spans="1:26" x14ac:dyDescent="0.3">
      <c r="A329" s="1" t="s">
        <v>4369</v>
      </c>
      <c r="B329" s="126" t="s">
        <v>3613</v>
      </c>
      <c r="C329" s="54" t="s">
        <v>2544</v>
      </c>
      <c r="D329" s="127" t="s">
        <v>3233</v>
      </c>
      <c r="E329" s="1">
        <v>63900</v>
      </c>
      <c r="F329" s="1">
        <v>28</v>
      </c>
      <c r="G329" s="1">
        <v>4219</v>
      </c>
      <c r="H329" s="1" t="s">
        <v>630</v>
      </c>
      <c r="I329" s="1" t="s">
        <v>4370</v>
      </c>
      <c r="J329" s="1" t="s">
        <v>4371</v>
      </c>
      <c r="K329" s="126" t="s">
        <v>4372</v>
      </c>
      <c r="L329" s="1" t="s">
        <v>3708</v>
      </c>
      <c r="M329" s="131">
        <v>560066</v>
      </c>
      <c r="N329" s="126" t="s">
        <v>3620</v>
      </c>
      <c r="O329" s="131">
        <v>7204656712</v>
      </c>
      <c r="P329" s="1" t="s">
        <v>4373</v>
      </c>
      <c r="Q329" s="1" t="s">
        <v>4374</v>
      </c>
      <c r="R329" s="1" t="s">
        <v>4375</v>
      </c>
      <c r="S329" s="1">
        <v>3000</v>
      </c>
      <c r="T329" s="1">
        <v>52903</v>
      </c>
      <c r="U329" s="1">
        <v>55903</v>
      </c>
      <c r="V329" s="1" t="s">
        <v>657</v>
      </c>
      <c r="W329" s="129" t="s">
        <v>4376</v>
      </c>
      <c r="X329" t="s">
        <v>4377</v>
      </c>
      <c r="Y329" t="s">
        <v>644</v>
      </c>
      <c r="Z329" t="s">
        <v>645</v>
      </c>
    </row>
    <row r="330" spans="1:26" x14ac:dyDescent="0.3">
      <c r="A330" s="1" t="s">
        <v>4378</v>
      </c>
      <c r="B330" s="126" t="s">
        <v>3613</v>
      </c>
      <c r="C330" s="54" t="s">
        <v>2544</v>
      </c>
      <c r="D330" s="127" t="s">
        <v>4379</v>
      </c>
      <c r="E330" s="1">
        <v>80899</v>
      </c>
      <c r="F330" s="1">
        <v>24</v>
      </c>
      <c r="G330" s="1">
        <v>4315</v>
      </c>
      <c r="H330" s="1" t="s">
        <v>630</v>
      </c>
      <c r="I330" s="1" t="s">
        <v>4380</v>
      </c>
      <c r="J330" s="1" t="s">
        <v>4381</v>
      </c>
      <c r="K330" s="126" t="s">
        <v>4382</v>
      </c>
      <c r="L330" s="1" t="s">
        <v>3708</v>
      </c>
      <c r="M330" s="131">
        <v>560103</v>
      </c>
      <c r="N330" s="126" t="s">
        <v>3620</v>
      </c>
      <c r="O330" s="131">
        <v>9064565640</v>
      </c>
      <c r="P330" s="1" t="s">
        <v>4383</v>
      </c>
      <c r="Q330" s="1" t="s">
        <v>4384</v>
      </c>
      <c r="R330" s="1" t="s">
        <v>4385</v>
      </c>
      <c r="S330" s="1">
        <v>3000</v>
      </c>
      <c r="T330" s="1">
        <v>79496</v>
      </c>
      <c r="U330" s="1">
        <v>82496</v>
      </c>
      <c r="V330" s="1" t="s">
        <v>3774</v>
      </c>
      <c r="W330" s="129" t="s">
        <v>4386</v>
      </c>
      <c r="X330" t="s">
        <v>4387</v>
      </c>
      <c r="Y330" t="s">
        <v>644</v>
      </c>
      <c r="Z330" t="s">
        <v>645</v>
      </c>
    </row>
    <row r="331" spans="1:26" x14ac:dyDescent="0.3">
      <c r="A331" s="1" t="s">
        <v>4388</v>
      </c>
      <c r="B331" s="126" t="s">
        <v>3613</v>
      </c>
      <c r="C331" s="54" t="s">
        <v>2565</v>
      </c>
      <c r="D331" s="127" t="s">
        <v>996</v>
      </c>
      <c r="E331" s="1">
        <v>180000</v>
      </c>
      <c r="F331" s="1">
        <v>36</v>
      </c>
      <c r="G331" s="1">
        <v>7145</v>
      </c>
      <c r="H331" s="1" t="s">
        <v>630</v>
      </c>
      <c r="I331" s="1" t="s">
        <v>4389</v>
      </c>
      <c r="J331" s="1" t="s">
        <v>4390</v>
      </c>
      <c r="K331" s="126" t="s">
        <v>4391</v>
      </c>
      <c r="L331" s="1" t="s">
        <v>3708</v>
      </c>
      <c r="M331" s="131">
        <v>560079</v>
      </c>
      <c r="N331" s="126" t="s">
        <v>3620</v>
      </c>
      <c r="O331" s="131">
        <v>8951610003</v>
      </c>
      <c r="P331" s="1" t="s">
        <v>4392</v>
      </c>
      <c r="Q331" s="1" t="s">
        <v>4393</v>
      </c>
      <c r="R331" s="1" t="s">
        <v>4394</v>
      </c>
      <c r="S331" s="1">
        <v>3000</v>
      </c>
      <c r="T331" s="1">
        <v>137162</v>
      </c>
      <c r="U331" s="1">
        <v>140162</v>
      </c>
      <c r="V331" s="1" t="s">
        <v>1675</v>
      </c>
      <c r="W331" s="129" t="s">
        <v>4395</v>
      </c>
      <c r="X331" t="s">
        <v>4396</v>
      </c>
      <c r="Y331" t="s">
        <v>644</v>
      </c>
      <c r="Z331" t="s">
        <v>645</v>
      </c>
    </row>
    <row r="332" spans="1:26" x14ac:dyDescent="0.3">
      <c r="A332" s="1" t="s">
        <v>4397</v>
      </c>
      <c r="B332" s="126" t="s">
        <v>3613</v>
      </c>
      <c r="C332" s="54" t="s">
        <v>2565</v>
      </c>
      <c r="D332" s="127" t="s">
        <v>4398</v>
      </c>
      <c r="E332" s="1">
        <v>65900</v>
      </c>
      <c r="F332" s="1">
        <v>29</v>
      </c>
      <c r="G332" s="1">
        <v>3471</v>
      </c>
      <c r="H332" s="1" t="s">
        <v>630</v>
      </c>
      <c r="I332" s="1" t="s">
        <v>4399</v>
      </c>
      <c r="J332" s="1" t="s">
        <v>4400</v>
      </c>
      <c r="K332" s="126" t="s">
        <v>4401</v>
      </c>
      <c r="L332" s="1" t="s">
        <v>3708</v>
      </c>
      <c r="M332" s="131">
        <v>560078</v>
      </c>
      <c r="N332" s="126" t="s">
        <v>3620</v>
      </c>
      <c r="O332" s="131">
        <v>9845803845</v>
      </c>
      <c r="P332" s="1" t="s">
        <v>4402</v>
      </c>
      <c r="Q332" s="1" t="s">
        <v>4403</v>
      </c>
      <c r="R332" s="1" t="s">
        <v>4404</v>
      </c>
      <c r="S332" s="1">
        <v>1229</v>
      </c>
      <c r="T332" s="1">
        <v>0</v>
      </c>
      <c r="U332" s="1">
        <v>1229</v>
      </c>
      <c r="V332" s="1" t="s">
        <v>1318</v>
      </c>
      <c r="W332" s="129" t="s">
        <v>4405</v>
      </c>
      <c r="X332" t="s">
        <v>4406</v>
      </c>
      <c r="Y332" t="s">
        <v>644</v>
      </c>
      <c r="Z332" t="s">
        <v>645</v>
      </c>
    </row>
    <row r="333" spans="1:26" x14ac:dyDescent="0.3">
      <c r="A333" s="1" t="s">
        <v>4407</v>
      </c>
      <c r="B333" s="126" t="s">
        <v>3613</v>
      </c>
      <c r="C333" s="54" t="s">
        <v>2857</v>
      </c>
      <c r="D333" s="127" t="s">
        <v>4408</v>
      </c>
      <c r="E333" s="1">
        <v>73880</v>
      </c>
      <c r="F333" s="1">
        <v>32</v>
      </c>
      <c r="G333" s="1">
        <v>3467</v>
      </c>
      <c r="H333" s="1" t="s">
        <v>630</v>
      </c>
      <c r="I333" s="1" t="s">
        <v>4409</v>
      </c>
      <c r="J333" s="1" t="s">
        <v>4410</v>
      </c>
      <c r="K333" s="126" t="s">
        <v>4411</v>
      </c>
      <c r="L333" s="1" t="s">
        <v>3708</v>
      </c>
      <c r="M333" s="131">
        <v>562106</v>
      </c>
      <c r="N333" s="126" t="s">
        <v>3620</v>
      </c>
      <c r="O333" s="131">
        <v>8123298525</v>
      </c>
      <c r="P333" s="1" t="s">
        <v>4412</v>
      </c>
      <c r="Q333" s="1" t="s">
        <v>4413</v>
      </c>
      <c r="R333" s="1" t="s">
        <v>4414</v>
      </c>
      <c r="S333" s="1">
        <v>3000</v>
      </c>
      <c r="T333" s="1">
        <v>72820</v>
      </c>
      <c r="U333" s="1">
        <v>75820</v>
      </c>
      <c r="V333" s="1" t="s">
        <v>2392</v>
      </c>
      <c r="W333" s="129" t="s">
        <v>4415</v>
      </c>
      <c r="X333" t="s">
        <v>4416</v>
      </c>
      <c r="Y333" t="s">
        <v>644</v>
      </c>
      <c r="Z333" t="s">
        <v>645</v>
      </c>
    </row>
    <row r="334" spans="1:26" x14ac:dyDescent="0.3">
      <c r="A334" s="1" t="s">
        <v>4417</v>
      </c>
      <c r="B334" s="126" t="s">
        <v>3613</v>
      </c>
      <c r="C334" s="54" t="s">
        <v>2565</v>
      </c>
      <c r="D334" s="127" t="s">
        <v>4418</v>
      </c>
      <c r="E334" s="1">
        <v>79899</v>
      </c>
      <c r="F334" s="1">
        <v>36</v>
      </c>
      <c r="G334" s="1">
        <v>3159</v>
      </c>
      <c r="H334" s="1" t="s">
        <v>630</v>
      </c>
      <c r="I334" s="1" t="s">
        <v>4419</v>
      </c>
      <c r="J334" s="1" t="s">
        <v>4420</v>
      </c>
      <c r="K334" s="126" t="s">
        <v>4421</v>
      </c>
      <c r="L334" s="1" t="s">
        <v>3804</v>
      </c>
      <c r="M334" s="131">
        <v>585101</v>
      </c>
      <c r="N334" s="126" t="s">
        <v>3620</v>
      </c>
      <c r="O334" s="131">
        <v>7829861993</v>
      </c>
      <c r="P334" s="1" t="s">
        <v>682</v>
      </c>
      <c r="Q334" s="1" t="s">
        <v>4422</v>
      </c>
      <c r="R334" s="1" t="s">
        <v>4423</v>
      </c>
      <c r="S334" s="1">
        <v>3000</v>
      </c>
      <c r="T334" s="1">
        <v>93431</v>
      </c>
      <c r="U334" s="1">
        <v>96431</v>
      </c>
      <c r="V334" s="1" t="s">
        <v>3774</v>
      </c>
      <c r="W334" s="129" t="s">
        <v>4424</v>
      </c>
      <c r="X334" t="s">
        <v>4425</v>
      </c>
      <c r="Y334" t="s">
        <v>644</v>
      </c>
      <c r="Z334" t="s">
        <v>645</v>
      </c>
    </row>
    <row r="335" spans="1:26" x14ac:dyDescent="0.3">
      <c r="A335" s="1" t="s">
        <v>4426</v>
      </c>
      <c r="B335" s="126" t="s">
        <v>3613</v>
      </c>
      <c r="C335" s="54" t="s">
        <v>2565</v>
      </c>
      <c r="D335" s="127" t="s">
        <v>4427</v>
      </c>
      <c r="E335" s="1">
        <v>45900</v>
      </c>
      <c r="F335" s="1">
        <v>40</v>
      </c>
      <c r="G335" s="1">
        <v>2357</v>
      </c>
      <c r="H335" s="1" t="s">
        <v>630</v>
      </c>
      <c r="I335" s="1" t="s">
        <v>4428</v>
      </c>
      <c r="J335" s="1" t="s">
        <v>4429</v>
      </c>
      <c r="K335" s="126" t="s">
        <v>4430</v>
      </c>
      <c r="L335" s="1" t="s">
        <v>3708</v>
      </c>
      <c r="M335" s="131">
        <v>560091</v>
      </c>
      <c r="N335" s="126" t="s">
        <v>3620</v>
      </c>
      <c r="O335" s="131">
        <v>9916432778</v>
      </c>
      <c r="P335" s="1" t="s">
        <v>4431</v>
      </c>
      <c r="Q335" s="1" t="s">
        <v>4432</v>
      </c>
      <c r="R335" s="1" t="s">
        <v>4433</v>
      </c>
      <c r="S335" s="1">
        <v>3000</v>
      </c>
      <c r="T335" s="1">
        <v>38992</v>
      </c>
      <c r="U335" s="1">
        <v>41992</v>
      </c>
      <c r="V335" s="1" t="s">
        <v>1005</v>
      </c>
      <c r="W335" s="129" t="s">
        <v>4434</v>
      </c>
      <c r="X335" t="s">
        <v>4435</v>
      </c>
      <c r="Y335" t="s">
        <v>644</v>
      </c>
      <c r="Z335" t="s">
        <v>645</v>
      </c>
    </row>
    <row r="336" spans="1:26" x14ac:dyDescent="0.3">
      <c r="A336" s="126" t="s">
        <v>4436</v>
      </c>
      <c r="B336" s="126" t="s">
        <v>4437</v>
      </c>
      <c r="C336" s="54" t="s">
        <v>1335</v>
      </c>
      <c r="D336" s="127" t="s">
        <v>4438</v>
      </c>
      <c r="E336" s="126">
        <v>81699</v>
      </c>
      <c r="F336" s="126">
        <v>36</v>
      </c>
      <c r="G336" s="126">
        <v>3216</v>
      </c>
      <c r="H336" s="126" t="s">
        <v>630</v>
      </c>
      <c r="I336" s="126" t="s">
        <v>4439</v>
      </c>
      <c r="J336" s="126" t="s">
        <v>4440</v>
      </c>
      <c r="K336" s="126" t="s">
        <v>4441</v>
      </c>
      <c r="L336" s="126" t="s">
        <v>4442</v>
      </c>
      <c r="M336" s="128" t="s">
        <v>4443</v>
      </c>
      <c r="N336" s="126" t="s">
        <v>4444</v>
      </c>
      <c r="O336" s="128" t="s">
        <v>4445</v>
      </c>
      <c r="P336" s="126" t="s">
        <v>4446</v>
      </c>
      <c r="Q336" s="126" t="s">
        <v>4447</v>
      </c>
      <c r="R336" s="126" t="s">
        <v>4448</v>
      </c>
      <c r="S336" s="126">
        <v>3000</v>
      </c>
      <c r="T336" s="126">
        <v>114851</v>
      </c>
      <c r="U336" s="126">
        <v>117851</v>
      </c>
      <c r="V336" s="126" t="s">
        <v>978</v>
      </c>
      <c r="W336" s="129" t="s">
        <v>4449</v>
      </c>
      <c r="X336" t="s">
        <v>4450</v>
      </c>
      <c r="Y336" t="s">
        <v>644</v>
      </c>
      <c r="Z336" t="s">
        <v>645</v>
      </c>
    </row>
    <row r="337" spans="1:26" x14ac:dyDescent="0.3">
      <c r="A337" s="126" t="s">
        <v>4451</v>
      </c>
      <c r="B337" s="126" t="s">
        <v>4437</v>
      </c>
      <c r="C337" s="54" t="s">
        <v>628</v>
      </c>
      <c r="D337" s="127" t="s">
        <v>4452</v>
      </c>
      <c r="E337" s="126">
        <v>94799</v>
      </c>
      <c r="F337" s="126">
        <v>36</v>
      </c>
      <c r="G337" s="126">
        <v>3700</v>
      </c>
      <c r="H337" s="126" t="s">
        <v>630</v>
      </c>
      <c r="I337" s="126" t="s">
        <v>4453</v>
      </c>
      <c r="J337" s="126" t="s">
        <v>4454</v>
      </c>
      <c r="K337" s="126" t="s">
        <v>4455</v>
      </c>
      <c r="L337" s="126" t="s">
        <v>4456</v>
      </c>
      <c r="M337" s="128" t="s">
        <v>4457</v>
      </c>
      <c r="N337" s="126" t="s">
        <v>4444</v>
      </c>
      <c r="O337" s="128" t="s">
        <v>4458</v>
      </c>
      <c r="P337" s="126" t="s">
        <v>4459</v>
      </c>
      <c r="Q337" s="126" t="s">
        <v>4460</v>
      </c>
      <c r="R337" s="126" t="s">
        <v>4461</v>
      </c>
      <c r="S337" s="126">
        <v>3000</v>
      </c>
      <c r="T337" s="126">
        <v>140418</v>
      </c>
      <c r="U337" s="126">
        <v>143418</v>
      </c>
      <c r="V337" s="126" t="s">
        <v>3761</v>
      </c>
      <c r="W337" s="129" t="s">
        <v>4462</v>
      </c>
      <c r="X337" t="s">
        <v>4463</v>
      </c>
      <c r="Y337" t="s">
        <v>644</v>
      </c>
      <c r="Z337" t="s">
        <v>645</v>
      </c>
    </row>
    <row r="338" spans="1:26" x14ac:dyDescent="0.3">
      <c r="A338" s="126" t="s">
        <v>4464</v>
      </c>
      <c r="B338" s="126" t="s">
        <v>4437</v>
      </c>
      <c r="C338" s="54" t="s">
        <v>1335</v>
      </c>
      <c r="D338" s="127" t="s">
        <v>4465</v>
      </c>
      <c r="E338" s="126">
        <v>79500</v>
      </c>
      <c r="F338" s="126">
        <v>36</v>
      </c>
      <c r="G338" s="126">
        <v>3070</v>
      </c>
      <c r="H338" s="126" t="s">
        <v>630</v>
      </c>
      <c r="I338" s="126" t="s">
        <v>4466</v>
      </c>
      <c r="J338" s="126" t="s">
        <v>4467</v>
      </c>
      <c r="K338" s="126" t="s">
        <v>4468</v>
      </c>
      <c r="L338" s="126" t="s">
        <v>4469</v>
      </c>
      <c r="M338" s="128" t="s">
        <v>4470</v>
      </c>
      <c r="N338" s="126" t="s">
        <v>4444</v>
      </c>
      <c r="O338" s="128" t="s">
        <v>4471</v>
      </c>
      <c r="P338" s="126" t="s">
        <v>4472</v>
      </c>
      <c r="Q338" s="126" t="s">
        <v>4473</v>
      </c>
      <c r="R338" s="126" t="s">
        <v>4474</v>
      </c>
      <c r="S338" s="126">
        <v>3000</v>
      </c>
      <c r="T338" s="126">
        <v>62037</v>
      </c>
      <c r="U338" s="126">
        <v>65037</v>
      </c>
      <c r="V338" s="126" t="s">
        <v>3987</v>
      </c>
      <c r="W338" s="129" t="s">
        <v>4475</v>
      </c>
      <c r="X338" t="s">
        <v>4476</v>
      </c>
      <c r="Y338" t="s">
        <v>644</v>
      </c>
      <c r="Z338" t="s">
        <v>645</v>
      </c>
    </row>
    <row r="339" spans="1:26" x14ac:dyDescent="0.3">
      <c r="A339" s="126" t="s">
        <v>4477</v>
      </c>
      <c r="B339" s="126" t="s">
        <v>4437</v>
      </c>
      <c r="C339" s="54" t="s">
        <v>661</v>
      </c>
      <c r="D339" s="127" t="s">
        <v>4478</v>
      </c>
      <c r="E339" s="126">
        <v>62873</v>
      </c>
      <c r="F339" s="126">
        <v>36</v>
      </c>
      <c r="G339" s="126">
        <v>2350</v>
      </c>
      <c r="H339" s="126" t="s">
        <v>630</v>
      </c>
      <c r="I339" s="126" t="s">
        <v>4479</v>
      </c>
      <c r="J339" s="126" t="s">
        <v>4480</v>
      </c>
      <c r="K339" s="126" t="s">
        <v>4481</v>
      </c>
      <c r="L339" s="126" t="s">
        <v>4482</v>
      </c>
      <c r="M339" s="128" t="s">
        <v>4483</v>
      </c>
      <c r="N339" s="126" t="s">
        <v>4444</v>
      </c>
      <c r="O339" s="128" t="s">
        <v>4484</v>
      </c>
      <c r="P339" s="126" t="s">
        <v>4485</v>
      </c>
      <c r="Q339" s="126" t="s">
        <v>4486</v>
      </c>
      <c r="R339" s="126" t="s">
        <v>4487</v>
      </c>
      <c r="S339" s="126">
        <v>3000</v>
      </c>
      <c r="T339" s="126">
        <v>113472</v>
      </c>
      <c r="U339" s="126">
        <v>116472</v>
      </c>
      <c r="V339" s="126" t="s">
        <v>857</v>
      </c>
      <c r="W339" s="129" t="s">
        <v>4488</v>
      </c>
      <c r="X339" t="s">
        <v>4489</v>
      </c>
      <c r="Y339" t="s">
        <v>644</v>
      </c>
      <c r="Z339" t="s">
        <v>645</v>
      </c>
    </row>
    <row r="340" spans="1:26" x14ac:dyDescent="0.3">
      <c r="A340" s="126" t="s">
        <v>4490</v>
      </c>
      <c r="B340" s="126" t="s">
        <v>4437</v>
      </c>
      <c r="C340" s="54" t="s">
        <v>661</v>
      </c>
      <c r="D340" s="127" t="s">
        <v>4491</v>
      </c>
      <c r="E340" s="126">
        <v>61050</v>
      </c>
      <c r="F340" s="126">
        <v>48</v>
      </c>
      <c r="G340" s="126">
        <v>2423</v>
      </c>
      <c r="H340" s="126" t="s">
        <v>630</v>
      </c>
      <c r="I340" s="126" t="s">
        <v>4492</v>
      </c>
      <c r="J340" s="126" t="s">
        <v>4493</v>
      </c>
      <c r="K340" s="126" t="s">
        <v>4494</v>
      </c>
      <c r="L340" s="126" t="s">
        <v>4456</v>
      </c>
      <c r="M340" s="128" t="s">
        <v>4495</v>
      </c>
      <c r="N340" s="126" t="s">
        <v>4444</v>
      </c>
      <c r="O340" s="128" t="s">
        <v>4496</v>
      </c>
      <c r="P340" s="126" t="s">
        <v>4497</v>
      </c>
      <c r="Q340" s="126" t="s">
        <v>4498</v>
      </c>
      <c r="R340" s="126" t="s">
        <v>4499</v>
      </c>
      <c r="S340" s="126">
        <v>3000</v>
      </c>
      <c r="T340" s="126">
        <v>43880</v>
      </c>
      <c r="U340" s="126">
        <v>46880</v>
      </c>
      <c r="V340" s="126" t="s">
        <v>1446</v>
      </c>
      <c r="W340" s="129" t="s">
        <v>4500</v>
      </c>
      <c r="X340" t="s">
        <v>4501</v>
      </c>
      <c r="Y340" t="s">
        <v>644</v>
      </c>
      <c r="Z340" t="s">
        <v>645</v>
      </c>
    </row>
    <row r="341" spans="1:26" x14ac:dyDescent="0.3">
      <c r="A341" s="126" t="s">
        <v>4502</v>
      </c>
      <c r="B341" s="126" t="s">
        <v>4437</v>
      </c>
      <c r="C341" s="54" t="s">
        <v>702</v>
      </c>
      <c r="D341" s="127" t="s">
        <v>4503</v>
      </c>
      <c r="E341" s="126">
        <v>90400</v>
      </c>
      <c r="F341" s="126">
        <v>36</v>
      </c>
      <c r="G341" s="126">
        <v>3404</v>
      </c>
      <c r="H341" s="126" t="s">
        <v>630</v>
      </c>
      <c r="I341" s="126" t="s">
        <v>4504</v>
      </c>
      <c r="J341" s="126" t="s">
        <v>4505</v>
      </c>
      <c r="K341" s="126" t="s">
        <v>4506</v>
      </c>
      <c r="L341" s="126" t="s">
        <v>4442</v>
      </c>
      <c r="M341" s="128" t="s">
        <v>4507</v>
      </c>
      <c r="N341" s="126" t="s">
        <v>4444</v>
      </c>
      <c r="O341" s="128" t="s">
        <v>4508</v>
      </c>
      <c r="P341" s="126" t="s">
        <v>4509</v>
      </c>
      <c r="Q341" s="126" t="s">
        <v>4510</v>
      </c>
      <c r="R341" s="126" t="s">
        <v>4511</v>
      </c>
      <c r="S341" s="126">
        <v>3000</v>
      </c>
      <c r="T341" s="126">
        <v>95300</v>
      </c>
      <c r="U341" s="126">
        <v>98300</v>
      </c>
      <c r="V341" s="126" t="s">
        <v>3761</v>
      </c>
      <c r="W341" s="129" t="s">
        <v>4512</v>
      </c>
      <c r="X341" t="s">
        <v>4513</v>
      </c>
      <c r="Y341" t="s">
        <v>644</v>
      </c>
      <c r="Z341" t="s">
        <v>645</v>
      </c>
    </row>
    <row r="342" spans="1:26" x14ac:dyDescent="0.3">
      <c r="A342" s="126" t="s">
        <v>4514</v>
      </c>
      <c r="B342" s="126" t="s">
        <v>4437</v>
      </c>
      <c r="C342" s="54" t="s">
        <v>702</v>
      </c>
      <c r="D342" s="127" t="s">
        <v>2304</v>
      </c>
      <c r="E342" s="126">
        <v>96513</v>
      </c>
      <c r="F342" s="126">
        <v>36</v>
      </c>
      <c r="G342" s="126">
        <v>3880</v>
      </c>
      <c r="H342" s="126" t="s">
        <v>630</v>
      </c>
      <c r="I342" s="126" t="s">
        <v>4515</v>
      </c>
      <c r="J342" s="126" t="s">
        <v>4516</v>
      </c>
      <c r="K342" s="126" t="s">
        <v>4517</v>
      </c>
      <c r="L342" s="126" t="s">
        <v>4482</v>
      </c>
      <c r="M342" s="128" t="s">
        <v>4518</v>
      </c>
      <c r="N342" s="126" t="s">
        <v>4444</v>
      </c>
      <c r="O342" s="128" t="s">
        <v>4519</v>
      </c>
      <c r="P342" s="126" t="s">
        <v>4520</v>
      </c>
      <c r="Q342" s="126" t="s">
        <v>4521</v>
      </c>
      <c r="R342" s="126" t="s">
        <v>4522</v>
      </c>
      <c r="S342" s="126">
        <v>3000</v>
      </c>
      <c r="T342" s="126">
        <v>136771</v>
      </c>
      <c r="U342" s="126">
        <v>139771</v>
      </c>
      <c r="V342" s="126" t="s">
        <v>4301</v>
      </c>
      <c r="W342" s="129" t="s">
        <v>4523</v>
      </c>
      <c r="X342" t="s">
        <v>4524</v>
      </c>
      <c r="Y342" t="s">
        <v>644</v>
      </c>
      <c r="Z342" t="s">
        <v>645</v>
      </c>
    </row>
    <row r="343" spans="1:26" x14ac:dyDescent="0.3">
      <c r="A343" s="126" t="s">
        <v>4525</v>
      </c>
      <c r="B343" s="126" t="s">
        <v>4437</v>
      </c>
      <c r="C343" s="54" t="s">
        <v>661</v>
      </c>
      <c r="D343" s="127" t="s">
        <v>4526</v>
      </c>
      <c r="E343" s="126">
        <v>60150</v>
      </c>
      <c r="F343" s="126">
        <v>36</v>
      </c>
      <c r="G343" s="126">
        <v>2445</v>
      </c>
      <c r="H343" s="126" t="s">
        <v>630</v>
      </c>
      <c r="I343" s="126" t="s">
        <v>4527</v>
      </c>
      <c r="J343" s="126" t="s">
        <v>4528</v>
      </c>
      <c r="K343" s="126" t="s">
        <v>4529</v>
      </c>
      <c r="L343" s="126" t="s">
        <v>4530</v>
      </c>
      <c r="M343" s="128" t="s">
        <v>4531</v>
      </c>
      <c r="N343" s="126" t="s">
        <v>4444</v>
      </c>
      <c r="O343" s="128" t="s">
        <v>4532</v>
      </c>
      <c r="P343" s="126" t="s">
        <v>4533</v>
      </c>
      <c r="Q343" s="126" t="s">
        <v>4534</v>
      </c>
      <c r="R343" s="126" t="s">
        <v>4535</v>
      </c>
      <c r="S343" s="126">
        <v>3000</v>
      </c>
      <c r="T343" s="126">
        <v>88415</v>
      </c>
      <c r="U343" s="126">
        <v>91415</v>
      </c>
      <c r="V343" s="126" t="s">
        <v>2347</v>
      </c>
      <c r="W343" s="129" t="s">
        <v>4536</v>
      </c>
      <c r="X343" t="s">
        <v>4537</v>
      </c>
      <c r="Y343" t="s">
        <v>644</v>
      </c>
      <c r="Z343" t="s">
        <v>645</v>
      </c>
    </row>
    <row r="344" spans="1:26" x14ac:dyDescent="0.3">
      <c r="A344" s="126" t="s">
        <v>4538</v>
      </c>
      <c r="B344" s="126" t="s">
        <v>4437</v>
      </c>
      <c r="C344" s="54" t="s">
        <v>702</v>
      </c>
      <c r="D344" s="127" t="s">
        <v>4539</v>
      </c>
      <c r="E344" s="126">
        <v>86700</v>
      </c>
      <c r="F344" s="126">
        <v>36</v>
      </c>
      <c r="G344" s="126">
        <v>3393</v>
      </c>
      <c r="H344" s="126" t="s">
        <v>630</v>
      </c>
      <c r="I344" s="126" t="s">
        <v>4540</v>
      </c>
      <c r="J344" s="126" t="s">
        <v>4541</v>
      </c>
      <c r="K344" s="126" t="s">
        <v>4542</v>
      </c>
      <c r="L344" s="126" t="s">
        <v>4442</v>
      </c>
      <c r="M344" s="128" t="s">
        <v>4543</v>
      </c>
      <c r="N344" s="126" t="s">
        <v>4444</v>
      </c>
      <c r="O344" s="128" t="s">
        <v>4544</v>
      </c>
      <c r="P344" s="126" t="s">
        <v>4545</v>
      </c>
      <c r="Q344" s="126" t="s">
        <v>4546</v>
      </c>
      <c r="R344" s="126" t="s">
        <v>4547</v>
      </c>
      <c r="S344" s="126">
        <v>3000</v>
      </c>
      <c r="T344" s="126">
        <v>71783</v>
      </c>
      <c r="U344" s="126">
        <v>74783</v>
      </c>
      <c r="V344" s="126" t="s">
        <v>641</v>
      </c>
      <c r="W344" s="129" t="s">
        <v>4548</v>
      </c>
      <c r="X344" t="s">
        <v>4549</v>
      </c>
      <c r="Y344" t="s">
        <v>644</v>
      </c>
      <c r="Z344" t="s">
        <v>645</v>
      </c>
    </row>
    <row r="345" spans="1:26" x14ac:dyDescent="0.3">
      <c r="A345" s="126" t="s">
        <v>4550</v>
      </c>
      <c r="B345" s="126" t="s">
        <v>4437</v>
      </c>
      <c r="C345" s="54" t="s">
        <v>661</v>
      </c>
      <c r="D345" s="127" t="s">
        <v>4551</v>
      </c>
      <c r="E345" s="126">
        <v>84599</v>
      </c>
      <c r="F345" s="126">
        <v>36</v>
      </c>
      <c r="G345" s="126">
        <v>3400</v>
      </c>
      <c r="H345" s="126" t="s">
        <v>630</v>
      </c>
      <c r="I345" s="126" t="s">
        <v>4552</v>
      </c>
      <c r="J345" s="126" t="s">
        <v>4553</v>
      </c>
      <c r="K345" s="126" t="s">
        <v>4554</v>
      </c>
      <c r="L345" s="126" t="s">
        <v>4442</v>
      </c>
      <c r="M345" s="128" t="s">
        <v>4555</v>
      </c>
      <c r="N345" s="126" t="s">
        <v>4444</v>
      </c>
      <c r="O345" s="128" t="s">
        <v>4556</v>
      </c>
      <c r="P345" s="126" t="s">
        <v>4557</v>
      </c>
      <c r="Q345" s="126" t="s">
        <v>4558</v>
      </c>
      <c r="R345" s="126" t="s">
        <v>4559</v>
      </c>
      <c r="S345" s="126">
        <v>3000</v>
      </c>
      <c r="T345" s="126">
        <v>111002</v>
      </c>
      <c r="U345" s="126">
        <v>114002</v>
      </c>
      <c r="V345" s="126" t="s">
        <v>978</v>
      </c>
      <c r="W345" s="129" t="s">
        <v>4560</v>
      </c>
      <c r="X345" t="s">
        <v>4561</v>
      </c>
      <c r="Y345" t="s">
        <v>644</v>
      </c>
      <c r="Z345" t="s">
        <v>645</v>
      </c>
    </row>
    <row r="346" spans="1:26" x14ac:dyDescent="0.3">
      <c r="A346" s="1" t="s">
        <v>4562</v>
      </c>
      <c r="B346" s="126" t="s">
        <v>4437</v>
      </c>
      <c r="C346" s="54" t="s">
        <v>2483</v>
      </c>
      <c r="D346" s="127" t="s">
        <v>4563</v>
      </c>
      <c r="E346" s="1">
        <v>83350</v>
      </c>
      <c r="F346" s="1">
        <v>36</v>
      </c>
      <c r="G346" s="1">
        <v>3128</v>
      </c>
      <c r="H346" s="1" t="s">
        <v>630</v>
      </c>
      <c r="I346" s="1" t="s">
        <v>4564</v>
      </c>
      <c r="J346" s="1" t="s">
        <v>4565</v>
      </c>
      <c r="K346" s="126" t="s">
        <v>4566</v>
      </c>
      <c r="L346" s="1" t="s">
        <v>4482</v>
      </c>
      <c r="M346" s="131">
        <v>679531</v>
      </c>
      <c r="N346" s="126" t="s">
        <v>4444</v>
      </c>
      <c r="O346" s="131">
        <v>9946653757</v>
      </c>
      <c r="P346" s="1" t="s">
        <v>4567</v>
      </c>
      <c r="Q346" s="1" t="s">
        <v>4568</v>
      </c>
      <c r="R346" s="1" t="s">
        <v>4569</v>
      </c>
      <c r="S346" s="1">
        <v>3000</v>
      </c>
      <c r="T346" s="1">
        <v>102894</v>
      </c>
      <c r="U346" s="1">
        <v>105894</v>
      </c>
      <c r="V346" s="1" t="s">
        <v>4570</v>
      </c>
      <c r="W346" s="129" t="s">
        <v>4571</v>
      </c>
      <c r="X346" t="s">
        <v>4572</v>
      </c>
      <c r="Y346" t="s">
        <v>644</v>
      </c>
      <c r="Z346" t="s">
        <v>645</v>
      </c>
    </row>
    <row r="347" spans="1:26" x14ac:dyDescent="0.3">
      <c r="A347" s="126" t="s">
        <v>4573</v>
      </c>
      <c r="B347" s="126" t="s">
        <v>87</v>
      </c>
      <c r="C347" s="54" t="s">
        <v>628</v>
      </c>
      <c r="D347" s="127" t="s">
        <v>4574</v>
      </c>
      <c r="E347" s="126">
        <v>78999</v>
      </c>
      <c r="F347" s="126">
        <v>36</v>
      </c>
      <c r="G347" s="126">
        <v>2995</v>
      </c>
      <c r="H347" s="126" t="s">
        <v>630</v>
      </c>
      <c r="I347" s="126" t="s">
        <v>4575</v>
      </c>
      <c r="J347" s="126" t="s">
        <v>4576</v>
      </c>
      <c r="K347" s="126" t="s">
        <v>4577</v>
      </c>
      <c r="L347" s="126" t="s">
        <v>4578</v>
      </c>
      <c r="M347" s="128" t="s">
        <v>4579</v>
      </c>
      <c r="N347" s="126" t="s">
        <v>4580</v>
      </c>
      <c r="O347" s="128" t="s">
        <v>4581</v>
      </c>
      <c r="P347" s="126" t="s">
        <v>4582</v>
      </c>
      <c r="Q347" s="126" t="s">
        <v>4583</v>
      </c>
      <c r="R347" s="126" t="s">
        <v>4584</v>
      </c>
      <c r="S347" s="126">
        <v>3000</v>
      </c>
      <c r="T347" s="126">
        <v>81056</v>
      </c>
      <c r="U347" s="126">
        <v>84056</v>
      </c>
      <c r="V347" s="126" t="s">
        <v>4585</v>
      </c>
      <c r="W347" s="129" t="s">
        <v>4586</v>
      </c>
      <c r="X347" t="s">
        <v>4587</v>
      </c>
      <c r="Y347" t="s">
        <v>644</v>
      </c>
      <c r="Z347" t="s">
        <v>645</v>
      </c>
    </row>
    <row r="348" spans="1:26" x14ac:dyDescent="0.3">
      <c r="A348" s="126" t="s">
        <v>4588</v>
      </c>
      <c r="B348" s="126" t="s">
        <v>87</v>
      </c>
      <c r="C348" s="54" t="s">
        <v>702</v>
      </c>
      <c r="D348" s="127" t="s">
        <v>4589</v>
      </c>
      <c r="E348" s="126">
        <v>54011</v>
      </c>
      <c r="F348" s="126">
        <v>48</v>
      </c>
      <c r="G348" s="126">
        <v>2061</v>
      </c>
      <c r="H348" s="126" t="s">
        <v>630</v>
      </c>
      <c r="I348" s="126" t="s">
        <v>4590</v>
      </c>
      <c r="J348" s="126" t="s">
        <v>4591</v>
      </c>
      <c r="K348" s="126" t="s">
        <v>4592</v>
      </c>
      <c r="L348" s="126" t="s">
        <v>4593</v>
      </c>
      <c r="M348" s="128" t="s">
        <v>4594</v>
      </c>
      <c r="N348" s="126" t="s">
        <v>4580</v>
      </c>
      <c r="O348" s="128" t="s">
        <v>4595</v>
      </c>
      <c r="P348" s="126" t="s">
        <v>4596</v>
      </c>
      <c r="Q348" s="126" t="s">
        <v>4597</v>
      </c>
      <c r="R348" s="126" t="s">
        <v>4598</v>
      </c>
      <c r="S348" s="126">
        <v>3000</v>
      </c>
      <c r="T348" s="126">
        <v>43908</v>
      </c>
      <c r="U348" s="126">
        <v>46908</v>
      </c>
      <c r="V348" s="126" t="s">
        <v>657</v>
      </c>
      <c r="W348" s="129" t="s">
        <v>4599</v>
      </c>
      <c r="X348" t="s">
        <v>4600</v>
      </c>
      <c r="Y348" t="s">
        <v>644</v>
      </c>
      <c r="Z348" t="s">
        <v>645</v>
      </c>
    </row>
    <row r="349" spans="1:26" x14ac:dyDescent="0.3">
      <c r="A349" s="126" t="s">
        <v>4601</v>
      </c>
      <c r="B349" s="126" t="s">
        <v>87</v>
      </c>
      <c r="C349" s="54" t="s">
        <v>628</v>
      </c>
      <c r="D349" s="127" t="s">
        <v>4602</v>
      </c>
      <c r="E349" s="126">
        <v>61999</v>
      </c>
      <c r="F349" s="126">
        <v>35</v>
      </c>
      <c r="G349" s="126">
        <v>2484</v>
      </c>
      <c r="H349" s="126" t="s">
        <v>630</v>
      </c>
      <c r="I349" s="126" t="s">
        <v>4603</v>
      </c>
      <c r="J349" s="126" t="s">
        <v>4604</v>
      </c>
      <c r="K349" s="126" t="s">
        <v>4605</v>
      </c>
      <c r="L349" s="126" t="s">
        <v>4606</v>
      </c>
      <c r="M349" s="128" t="s">
        <v>4607</v>
      </c>
      <c r="N349" s="126" t="s">
        <v>4580</v>
      </c>
      <c r="O349" s="128" t="s">
        <v>4608</v>
      </c>
      <c r="P349" s="1" t="s">
        <v>682</v>
      </c>
      <c r="Q349" s="126" t="s">
        <v>4609</v>
      </c>
      <c r="R349" s="126" t="s">
        <v>4610</v>
      </c>
      <c r="S349" s="126">
        <v>3000</v>
      </c>
      <c r="T349" s="126">
        <v>75877</v>
      </c>
      <c r="U349" s="126">
        <v>78877</v>
      </c>
      <c r="V349" s="126" t="s">
        <v>4611</v>
      </c>
      <c r="W349" s="129" t="s">
        <v>4612</v>
      </c>
      <c r="X349" t="s">
        <v>4613</v>
      </c>
      <c r="Y349" t="s">
        <v>644</v>
      </c>
      <c r="Z349" t="s">
        <v>645</v>
      </c>
    </row>
    <row r="350" spans="1:26" x14ac:dyDescent="0.3">
      <c r="A350" s="126" t="s">
        <v>4614</v>
      </c>
      <c r="B350" s="126" t="s">
        <v>87</v>
      </c>
      <c r="C350" s="54" t="s">
        <v>702</v>
      </c>
      <c r="D350" s="127" t="s">
        <v>3066</v>
      </c>
      <c r="E350" s="126">
        <v>55800</v>
      </c>
      <c r="F350" s="126">
        <v>24</v>
      </c>
      <c r="G350" s="126">
        <v>2867</v>
      </c>
      <c r="H350" s="126" t="s">
        <v>630</v>
      </c>
      <c r="I350" s="126" t="s">
        <v>4615</v>
      </c>
      <c r="J350" s="126" t="s">
        <v>4616</v>
      </c>
      <c r="K350" s="126" t="s">
        <v>4617</v>
      </c>
      <c r="L350" s="126" t="s">
        <v>4618</v>
      </c>
      <c r="M350" s="128" t="s">
        <v>4619</v>
      </c>
      <c r="N350" s="126" t="s">
        <v>4580</v>
      </c>
      <c r="O350" s="128" t="s">
        <v>4620</v>
      </c>
      <c r="P350" s="126" t="s">
        <v>4621</v>
      </c>
      <c r="Q350" s="126" t="s">
        <v>4622</v>
      </c>
      <c r="R350" s="126" t="s">
        <v>4623</v>
      </c>
      <c r="S350" s="126">
        <v>3000</v>
      </c>
      <c r="T350" s="126">
        <v>43041</v>
      </c>
      <c r="U350" s="126">
        <v>46041</v>
      </c>
      <c r="V350" s="126" t="s">
        <v>657</v>
      </c>
      <c r="W350" s="129" t="s">
        <v>4624</v>
      </c>
      <c r="X350" t="s">
        <v>4625</v>
      </c>
      <c r="Y350" t="s">
        <v>644</v>
      </c>
      <c r="Z350" t="s">
        <v>645</v>
      </c>
    </row>
    <row r="351" spans="1:26" x14ac:dyDescent="0.3">
      <c r="A351" s="126" t="s">
        <v>4626</v>
      </c>
      <c r="B351" s="126" t="s">
        <v>87</v>
      </c>
      <c r="C351" s="54" t="s">
        <v>702</v>
      </c>
      <c r="D351" s="127" t="s">
        <v>996</v>
      </c>
      <c r="E351" s="126">
        <v>59000</v>
      </c>
      <c r="F351" s="126">
        <v>37</v>
      </c>
      <c r="G351" s="126">
        <v>2410</v>
      </c>
      <c r="H351" s="126" t="s">
        <v>630</v>
      </c>
      <c r="I351" s="126" t="s">
        <v>4627</v>
      </c>
      <c r="J351" s="126" t="s">
        <v>4628</v>
      </c>
      <c r="K351" s="126" t="s">
        <v>4629</v>
      </c>
      <c r="L351" s="126" t="s">
        <v>4630</v>
      </c>
      <c r="M351" s="128" t="s">
        <v>4631</v>
      </c>
      <c r="N351" s="126" t="s">
        <v>4580</v>
      </c>
      <c r="O351" s="128" t="s">
        <v>4632</v>
      </c>
      <c r="P351" s="126" t="s">
        <v>4633</v>
      </c>
      <c r="Q351" s="126" t="s">
        <v>4634</v>
      </c>
      <c r="R351" s="126" t="s">
        <v>4635</v>
      </c>
      <c r="S351" s="126">
        <v>3000</v>
      </c>
      <c r="T351" s="126">
        <v>36491</v>
      </c>
      <c r="U351" s="126">
        <v>39491</v>
      </c>
      <c r="V351" s="126" t="s">
        <v>1141</v>
      </c>
      <c r="W351" s="129" t="s">
        <v>4636</v>
      </c>
      <c r="X351" t="s">
        <v>4637</v>
      </c>
      <c r="Y351" t="s">
        <v>644</v>
      </c>
      <c r="Z351" t="s">
        <v>645</v>
      </c>
    </row>
    <row r="352" spans="1:26" x14ac:dyDescent="0.3">
      <c r="A352" s="126" t="s">
        <v>4638</v>
      </c>
      <c r="B352" s="126" t="s">
        <v>87</v>
      </c>
      <c r="C352" s="54" t="s">
        <v>702</v>
      </c>
      <c r="D352" s="127" t="s">
        <v>4639</v>
      </c>
      <c r="E352" s="126">
        <v>51500</v>
      </c>
      <c r="F352" s="126">
        <v>28</v>
      </c>
      <c r="G352" s="126">
        <v>2631</v>
      </c>
      <c r="H352" s="126" t="s">
        <v>630</v>
      </c>
      <c r="I352" s="126" t="s">
        <v>4640</v>
      </c>
      <c r="J352" s="126" t="s">
        <v>4641</v>
      </c>
      <c r="K352" s="126" t="s">
        <v>4642</v>
      </c>
      <c r="L352" s="126" t="s">
        <v>88</v>
      </c>
      <c r="M352" s="128" t="s">
        <v>4643</v>
      </c>
      <c r="N352" s="126" t="s">
        <v>4580</v>
      </c>
      <c r="O352" s="128" t="s">
        <v>4644</v>
      </c>
      <c r="P352" s="126" t="s">
        <v>4645</v>
      </c>
      <c r="Q352" s="126" t="s">
        <v>4646</v>
      </c>
      <c r="R352" s="126" t="s">
        <v>4647</v>
      </c>
      <c r="S352" s="126">
        <v>3000</v>
      </c>
      <c r="T352" s="126">
        <v>41261</v>
      </c>
      <c r="U352" s="126">
        <v>44261</v>
      </c>
      <c r="V352" s="126" t="s">
        <v>4648</v>
      </c>
      <c r="W352" s="129" t="s">
        <v>4649</v>
      </c>
      <c r="X352" t="s">
        <v>4650</v>
      </c>
      <c r="Y352" t="s">
        <v>644</v>
      </c>
      <c r="Z352" t="s">
        <v>645</v>
      </c>
    </row>
    <row r="353" spans="1:26" x14ac:dyDescent="0.3">
      <c r="A353" s="126" t="s">
        <v>4651</v>
      </c>
      <c r="B353" s="126" t="s">
        <v>87</v>
      </c>
      <c r="C353" s="54" t="s">
        <v>702</v>
      </c>
      <c r="D353" s="127" t="s">
        <v>4652</v>
      </c>
      <c r="E353" s="126">
        <v>49900</v>
      </c>
      <c r="F353" s="126">
        <v>28</v>
      </c>
      <c r="G353" s="126">
        <v>2649</v>
      </c>
      <c r="H353" s="126" t="s">
        <v>630</v>
      </c>
      <c r="I353" s="126" t="s">
        <v>4653</v>
      </c>
      <c r="J353" s="126" t="s">
        <v>4654</v>
      </c>
      <c r="K353" s="126" t="s">
        <v>4655</v>
      </c>
      <c r="L353" s="126" t="s">
        <v>4656</v>
      </c>
      <c r="M353" s="128" t="s">
        <v>4657</v>
      </c>
      <c r="N353" s="126" t="s">
        <v>4580</v>
      </c>
      <c r="O353" s="128" t="s">
        <v>4658</v>
      </c>
      <c r="P353" s="126" t="s">
        <v>4659</v>
      </c>
      <c r="Q353" s="126" t="s">
        <v>4660</v>
      </c>
      <c r="R353" s="126" t="s">
        <v>4661</v>
      </c>
      <c r="S353" s="126">
        <v>3000</v>
      </c>
      <c r="T353" s="126">
        <v>33848</v>
      </c>
      <c r="U353" s="126">
        <v>36848</v>
      </c>
      <c r="V353" s="126" t="s">
        <v>657</v>
      </c>
      <c r="W353" s="129" t="s">
        <v>4662</v>
      </c>
      <c r="X353" t="s">
        <v>4663</v>
      </c>
      <c r="Y353" t="s">
        <v>644</v>
      </c>
      <c r="Z353" t="s">
        <v>645</v>
      </c>
    </row>
    <row r="354" spans="1:26" x14ac:dyDescent="0.3">
      <c r="A354" s="126" t="s">
        <v>4664</v>
      </c>
      <c r="B354" s="126" t="s">
        <v>87</v>
      </c>
      <c r="C354" s="54" t="s">
        <v>702</v>
      </c>
      <c r="D354" s="127" t="s">
        <v>4665</v>
      </c>
      <c r="E354" s="126">
        <v>56000</v>
      </c>
      <c r="F354" s="126">
        <v>39</v>
      </c>
      <c r="G354" s="126">
        <v>2404</v>
      </c>
      <c r="H354" s="126" t="s">
        <v>630</v>
      </c>
      <c r="I354" s="126" t="s">
        <v>4666</v>
      </c>
      <c r="J354" s="126" t="s">
        <v>4667</v>
      </c>
      <c r="K354" s="126" t="s">
        <v>4668</v>
      </c>
      <c r="L354" s="126" t="s">
        <v>4593</v>
      </c>
      <c r="M354" s="128" t="s">
        <v>4669</v>
      </c>
      <c r="N354" s="126" t="s">
        <v>4580</v>
      </c>
      <c r="O354" s="128" t="s">
        <v>4670</v>
      </c>
      <c r="P354" s="126" t="s">
        <v>4671</v>
      </c>
      <c r="Q354" s="126" t="s">
        <v>4672</v>
      </c>
      <c r="R354" s="126" t="s">
        <v>4673</v>
      </c>
      <c r="S354" s="126">
        <v>3000</v>
      </c>
      <c r="T354" s="126">
        <v>17989</v>
      </c>
      <c r="U354" s="126">
        <v>20989</v>
      </c>
      <c r="V354" s="126" t="s">
        <v>1019</v>
      </c>
      <c r="W354" s="129" t="s">
        <v>4674</v>
      </c>
      <c r="X354" t="s">
        <v>4675</v>
      </c>
      <c r="Y354" t="s">
        <v>644</v>
      </c>
      <c r="Z354" t="s">
        <v>645</v>
      </c>
    </row>
    <row r="355" spans="1:26" x14ac:dyDescent="0.3">
      <c r="A355" s="126" t="s">
        <v>4676</v>
      </c>
      <c r="B355" s="126" t="s">
        <v>87</v>
      </c>
      <c r="C355" s="54" t="s">
        <v>702</v>
      </c>
      <c r="D355" s="127" t="s">
        <v>3037</v>
      </c>
      <c r="E355" s="126">
        <v>64999</v>
      </c>
      <c r="F355" s="126">
        <v>30</v>
      </c>
      <c r="G355" s="126">
        <v>2871</v>
      </c>
      <c r="H355" s="126" t="s">
        <v>630</v>
      </c>
      <c r="I355" s="126" t="s">
        <v>4677</v>
      </c>
      <c r="J355" s="126" t="s">
        <v>4678</v>
      </c>
      <c r="K355" s="126" t="s">
        <v>4679</v>
      </c>
      <c r="L355" s="126" t="s">
        <v>4593</v>
      </c>
      <c r="M355" s="128" t="s">
        <v>4680</v>
      </c>
      <c r="N355" s="126" t="s">
        <v>4580</v>
      </c>
      <c r="O355" s="128" t="s">
        <v>4681</v>
      </c>
      <c r="P355" s="126" t="s">
        <v>4682</v>
      </c>
      <c r="Q355" s="126" t="s">
        <v>4683</v>
      </c>
      <c r="R355" s="126" t="s">
        <v>4684</v>
      </c>
      <c r="S355" s="126">
        <v>3000</v>
      </c>
      <c r="T355" s="126">
        <v>83173</v>
      </c>
      <c r="U355" s="126">
        <v>86173</v>
      </c>
      <c r="V355" s="126" t="s">
        <v>2312</v>
      </c>
      <c r="W355" s="129" t="s">
        <v>4685</v>
      </c>
      <c r="X355" t="s">
        <v>4686</v>
      </c>
      <c r="Y355" t="s">
        <v>644</v>
      </c>
      <c r="Z355" t="s">
        <v>645</v>
      </c>
    </row>
    <row r="356" spans="1:26" x14ac:dyDescent="0.3">
      <c r="A356" s="126" t="s">
        <v>4687</v>
      </c>
      <c r="B356" s="126" t="s">
        <v>87</v>
      </c>
      <c r="C356" s="54" t="s">
        <v>628</v>
      </c>
      <c r="D356" s="127" t="s">
        <v>1597</v>
      </c>
      <c r="E356" s="126">
        <v>55000</v>
      </c>
      <c r="F356" s="126">
        <v>28</v>
      </c>
      <c r="G356" s="126">
        <v>3110</v>
      </c>
      <c r="H356" s="126" t="s">
        <v>630</v>
      </c>
      <c r="I356" s="126" t="s">
        <v>4688</v>
      </c>
      <c r="J356" s="126" t="s">
        <v>4689</v>
      </c>
      <c r="K356" s="126" t="s">
        <v>4690</v>
      </c>
      <c r="L356" s="126" t="s">
        <v>4656</v>
      </c>
      <c r="M356" s="128" t="s">
        <v>4691</v>
      </c>
      <c r="N356" s="126" t="s">
        <v>4580</v>
      </c>
      <c r="O356" s="128" t="s">
        <v>4692</v>
      </c>
      <c r="P356" s="126" t="s">
        <v>4693</v>
      </c>
      <c r="Q356" s="126" t="s">
        <v>4694</v>
      </c>
      <c r="R356" s="126" t="s">
        <v>4695</v>
      </c>
      <c r="S356" s="126">
        <v>3000</v>
      </c>
      <c r="T356" s="126">
        <v>71744</v>
      </c>
      <c r="U356" s="126">
        <v>74744</v>
      </c>
      <c r="V356" s="126" t="s">
        <v>4696</v>
      </c>
      <c r="W356" s="129" t="s">
        <v>4697</v>
      </c>
      <c r="X356" t="s">
        <v>4698</v>
      </c>
      <c r="Y356" t="s">
        <v>644</v>
      </c>
      <c r="Z356" t="s">
        <v>645</v>
      </c>
    </row>
    <row r="357" spans="1:26" x14ac:dyDescent="0.3">
      <c r="A357" s="126" t="s">
        <v>4699</v>
      </c>
      <c r="B357" s="126" t="s">
        <v>87</v>
      </c>
      <c r="C357" s="54" t="s">
        <v>1335</v>
      </c>
      <c r="D357" s="127" t="s">
        <v>4700</v>
      </c>
      <c r="E357" s="126">
        <v>45400</v>
      </c>
      <c r="F357" s="126">
        <v>37</v>
      </c>
      <c r="G357" s="126">
        <v>2009</v>
      </c>
      <c r="H357" s="126" t="s">
        <v>630</v>
      </c>
      <c r="I357" s="126" t="s">
        <v>4701</v>
      </c>
      <c r="J357" s="126" t="s">
        <v>4702</v>
      </c>
      <c r="K357" s="126" t="s">
        <v>4703</v>
      </c>
      <c r="L357" s="126" t="s">
        <v>4606</v>
      </c>
      <c r="M357" s="128" t="s">
        <v>4704</v>
      </c>
      <c r="N357" s="126" t="s">
        <v>4580</v>
      </c>
      <c r="O357" s="128" t="s">
        <v>4705</v>
      </c>
      <c r="P357" s="126" t="s">
        <v>4706</v>
      </c>
      <c r="Q357" s="126" t="s">
        <v>4707</v>
      </c>
      <c r="R357" s="126" t="s">
        <v>4708</v>
      </c>
      <c r="S357" s="126">
        <v>3000</v>
      </c>
      <c r="T357" s="126">
        <v>11398</v>
      </c>
      <c r="U357" s="126">
        <v>14398</v>
      </c>
      <c r="V357" s="126" t="s">
        <v>805</v>
      </c>
      <c r="W357" s="129" t="s">
        <v>4709</v>
      </c>
      <c r="X357" t="s">
        <v>4710</v>
      </c>
      <c r="Y357" t="s">
        <v>644</v>
      </c>
      <c r="Z357" t="s">
        <v>645</v>
      </c>
    </row>
    <row r="358" spans="1:26" x14ac:dyDescent="0.3">
      <c r="A358" s="126" t="s">
        <v>4711</v>
      </c>
      <c r="B358" s="126" t="s">
        <v>87</v>
      </c>
      <c r="C358" s="54" t="s">
        <v>702</v>
      </c>
      <c r="D358" s="127" t="s">
        <v>2714</v>
      </c>
      <c r="E358" s="126">
        <v>69000</v>
      </c>
      <c r="F358" s="126">
        <v>36</v>
      </c>
      <c r="G358" s="126">
        <v>2688</v>
      </c>
      <c r="H358" s="126" t="s">
        <v>630</v>
      </c>
      <c r="I358" s="126" t="s">
        <v>4712</v>
      </c>
      <c r="J358" s="126" t="s">
        <v>4713</v>
      </c>
      <c r="K358" s="126" t="s">
        <v>4714</v>
      </c>
      <c r="L358" s="126" t="s">
        <v>4593</v>
      </c>
      <c r="M358" s="128" t="s">
        <v>4594</v>
      </c>
      <c r="N358" s="126" t="s">
        <v>4580</v>
      </c>
      <c r="O358" s="128" t="s">
        <v>4715</v>
      </c>
      <c r="P358" s="126" t="s">
        <v>4716</v>
      </c>
      <c r="Q358" s="126" t="s">
        <v>4717</v>
      </c>
      <c r="R358" s="126" t="s">
        <v>4718</v>
      </c>
      <c r="S358" s="126">
        <v>3000</v>
      </c>
      <c r="T358" s="126">
        <v>66153</v>
      </c>
      <c r="U358" s="126">
        <v>69153</v>
      </c>
      <c r="V358" s="126" t="s">
        <v>978</v>
      </c>
      <c r="W358" s="129" t="s">
        <v>4719</v>
      </c>
      <c r="X358" t="s">
        <v>4720</v>
      </c>
      <c r="Y358" t="s">
        <v>644</v>
      </c>
      <c r="Z358" t="s">
        <v>645</v>
      </c>
    </row>
    <row r="359" spans="1:26" x14ac:dyDescent="0.3">
      <c r="A359" s="126" t="s">
        <v>4721</v>
      </c>
      <c r="B359" s="126" t="s">
        <v>87</v>
      </c>
      <c r="C359" s="1" t="s">
        <v>682</v>
      </c>
      <c r="D359" s="127" t="s">
        <v>4722</v>
      </c>
      <c r="E359" s="126">
        <v>58900</v>
      </c>
      <c r="F359" s="126">
        <v>35</v>
      </c>
      <c r="G359" s="126">
        <v>2661</v>
      </c>
      <c r="H359" s="126" t="s">
        <v>630</v>
      </c>
      <c r="I359" s="126" t="s">
        <v>4723</v>
      </c>
      <c r="J359" s="126" t="s">
        <v>4724</v>
      </c>
      <c r="K359" s="126" t="s">
        <v>4725</v>
      </c>
      <c r="L359" s="126" t="s">
        <v>4593</v>
      </c>
      <c r="M359" s="128" t="s">
        <v>4726</v>
      </c>
      <c r="N359" s="126" t="s">
        <v>4580</v>
      </c>
      <c r="O359" s="128" t="s">
        <v>4727</v>
      </c>
      <c r="P359" s="126" t="s">
        <v>4728</v>
      </c>
      <c r="Q359" s="126" t="s">
        <v>4729</v>
      </c>
      <c r="R359" s="126" t="s">
        <v>4730</v>
      </c>
      <c r="S359" s="126">
        <v>3000</v>
      </c>
      <c r="T359" s="126">
        <v>17377</v>
      </c>
      <c r="U359" s="126">
        <v>20377</v>
      </c>
      <c r="V359" s="126" t="s">
        <v>1141</v>
      </c>
      <c r="W359" s="129" t="s">
        <v>4731</v>
      </c>
      <c r="X359" t="s">
        <v>4732</v>
      </c>
      <c r="Y359" t="s">
        <v>644</v>
      </c>
      <c r="Z359" t="s">
        <v>645</v>
      </c>
    </row>
    <row r="360" spans="1:26" x14ac:dyDescent="0.3">
      <c r="A360" s="126" t="s">
        <v>4733</v>
      </c>
      <c r="B360" s="126" t="s">
        <v>87</v>
      </c>
      <c r="C360" s="54" t="s">
        <v>702</v>
      </c>
      <c r="D360" s="127" t="s">
        <v>1692</v>
      </c>
      <c r="E360" s="126">
        <v>65750</v>
      </c>
      <c r="F360" s="126">
        <v>41</v>
      </c>
      <c r="G360" s="126">
        <v>2605</v>
      </c>
      <c r="H360" s="126" t="s">
        <v>630</v>
      </c>
      <c r="I360" s="126" t="s">
        <v>4734</v>
      </c>
      <c r="J360" s="126" t="s">
        <v>4735</v>
      </c>
      <c r="K360" s="126" t="s">
        <v>4736</v>
      </c>
      <c r="L360" s="126" t="s">
        <v>4737</v>
      </c>
      <c r="M360" s="128" t="s">
        <v>4738</v>
      </c>
      <c r="N360" s="126" t="s">
        <v>4580</v>
      </c>
      <c r="O360" s="128" t="s">
        <v>4739</v>
      </c>
      <c r="P360" s="126" t="s">
        <v>4740</v>
      </c>
      <c r="Q360" s="126" t="s">
        <v>4741</v>
      </c>
      <c r="R360" s="126" t="s">
        <v>4742</v>
      </c>
      <c r="S360" s="126">
        <v>0</v>
      </c>
      <c r="T360" s="126">
        <v>52223</v>
      </c>
      <c r="U360" s="126">
        <v>52223</v>
      </c>
      <c r="V360" s="126" t="s">
        <v>883</v>
      </c>
      <c r="W360" s="129" t="s">
        <v>4743</v>
      </c>
      <c r="X360" t="s">
        <v>4744</v>
      </c>
      <c r="Y360" t="s">
        <v>644</v>
      </c>
      <c r="Z360" t="s">
        <v>645</v>
      </c>
    </row>
    <row r="361" spans="1:26" x14ac:dyDescent="0.3">
      <c r="A361" s="126" t="s">
        <v>4745</v>
      </c>
      <c r="B361" s="126" t="s">
        <v>87</v>
      </c>
      <c r="C361" s="1" t="s">
        <v>682</v>
      </c>
      <c r="D361" s="127" t="s">
        <v>4746</v>
      </c>
      <c r="E361" s="126">
        <v>75364</v>
      </c>
      <c r="F361" s="126">
        <v>36</v>
      </c>
      <c r="G361" s="126">
        <v>3005</v>
      </c>
      <c r="H361" s="126" t="s">
        <v>630</v>
      </c>
      <c r="I361" s="126" t="s">
        <v>4747</v>
      </c>
      <c r="J361" s="126" t="s">
        <v>4748</v>
      </c>
      <c r="K361" s="126" t="s">
        <v>4749</v>
      </c>
      <c r="L361" s="126" t="s">
        <v>4737</v>
      </c>
      <c r="M361" s="128" t="s">
        <v>4738</v>
      </c>
      <c r="N361" s="126" t="s">
        <v>4580</v>
      </c>
      <c r="O361" s="128" t="s">
        <v>4750</v>
      </c>
      <c r="P361" s="126" t="s">
        <v>4751</v>
      </c>
      <c r="Q361" s="126" t="s">
        <v>4752</v>
      </c>
      <c r="R361" s="126" t="s">
        <v>4753</v>
      </c>
      <c r="S361" s="126">
        <v>3000</v>
      </c>
      <c r="T361" s="126">
        <v>67447</v>
      </c>
      <c r="U361" s="126">
        <v>70447</v>
      </c>
      <c r="V361" s="126" t="s">
        <v>2392</v>
      </c>
      <c r="W361" s="129" t="s">
        <v>4754</v>
      </c>
      <c r="X361" t="s">
        <v>4755</v>
      </c>
      <c r="Y361" t="s">
        <v>644</v>
      </c>
      <c r="Z361" t="s">
        <v>645</v>
      </c>
    </row>
    <row r="362" spans="1:26" x14ac:dyDescent="0.3">
      <c r="A362" s="126" t="s">
        <v>4756</v>
      </c>
      <c r="B362" s="126" t="s">
        <v>87</v>
      </c>
      <c r="C362" s="54" t="s">
        <v>628</v>
      </c>
      <c r="D362" s="127" t="s">
        <v>4757</v>
      </c>
      <c r="E362" s="126">
        <v>49200</v>
      </c>
      <c r="F362" s="126">
        <v>24</v>
      </c>
      <c r="G362" s="126">
        <v>2559</v>
      </c>
      <c r="H362" s="126" t="s">
        <v>630</v>
      </c>
      <c r="I362" s="126" t="s">
        <v>4758</v>
      </c>
      <c r="J362" s="126" t="s">
        <v>4759</v>
      </c>
      <c r="K362" s="126" t="s">
        <v>4760</v>
      </c>
      <c r="L362" s="126" t="s">
        <v>4761</v>
      </c>
      <c r="M362" s="128" t="s">
        <v>4762</v>
      </c>
      <c r="N362" s="126" t="s">
        <v>4580</v>
      </c>
      <c r="O362" s="128" t="s">
        <v>4763</v>
      </c>
      <c r="P362" s="126" t="s">
        <v>4764</v>
      </c>
      <c r="Q362" s="126" t="s">
        <v>4765</v>
      </c>
      <c r="R362" s="126" t="s">
        <v>4766</v>
      </c>
      <c r="S362" s="126">
        <v>3000</v>
      </c>
      <c r="T362" s="126">
        <v>14731</v>
      </c>
      <c r="U362" s="126">
        <v>17731</v>
      </c>
      <c r="V362" s="126" t="s">
        <v>992</v>
      </c>
      <c r="W362" s="129" t="s">
        <v>4767</v>
      </c>
      <c r="X362" t="s">
        <v>4768</v>
      </c>
      <c r="Y362" t="s">
        <v>644</v>
      </c>
      <c r="Z362" t="s">
        <v>645</v>
      </c>
    </row>
    <row r="363" spans="1:26" x14ac:dyDescent="0.3">
      <c r="A363" s="126" t="s">
        <v>4769</v>
      </c>
      <c r="B363" s="126" t="s">
        <v>87</v>
      </c>
      <c r="C363" s="54" t="s">
        <v>702</v>
      </c>
      <c r="D363" s="127" t="s">
        <v>4770</v>
      </c>
      <c r="E363" s="126">
        <v>73999</v>
      </c>
      <c r="F363" s="126">
        <v>43</v>
      </c>
      <c r="G363" s="126">
        <v>2870</v>
      </c>
      <c r="H363" s="126" t="s">
        <v>630</v>
      </c>
      <c r="I363" s="126" t="s">
        <v>4771</v>
      </c>
      <c r="J363" s="126" t="s">
        <v>4772</v>
      </c>
      <c r="K363" s="126" t="s">
        <v>4773</v>
      </c>
      <c r="L363" s="126" t="s">
        <v>4606</v>
      </c>
      <c r="M363" s="128" t="s">
        <v>4774</v>
      </c>
      <c r="N363" s="126" t="s">
        <v>4580</v>
      </c>
      <c r="O363" s="128" t="s">
        <v>4775</v>
      </c>
      <c r="P363" s="126" t="s">
        <v>4776</v>
      </c>
      <c r="Q363" s="126" t="s">
        <v>4777</v>
      </c>
      <c r="R363" s="126" t="s">
        <v>4778</v>
      </c>
      <c r="S363" s="126">
        <v>3000</v>
      </c>
      <c r="T363" s="126">
        <v>141319</v>
      </c>
      <c r="U363" s="126">
        <v>144319</v>
      </c>
      <c r="V363" s="126" t="s">
        <v>4048</v>
      </c>
      <c r="W363" s="129" t="s">
        <v>4779</v>
      </c>
      <c r="X363" t="s">
        <v>4780</v>
      </c>
      <c r="Y363" t="s">
        <v>644</v>
      </c>
      <c r="Z363" t="s">
        <v>645</v>
      </c>
    </row>
    <row r="364" spans="1:26" x14ac:dyDescent="0.3">
      <c r="A364" s="126" t="s">
        <v>4781</v>
      </c>
      <c r="B364" s="126" t="s">
        <v>87</v>
      </c>
      <c r="C364" s="54" t="s">
        <v>661</v>
      </c>
      <c r="D364" s="127" t="s">
        <v>4782</v>
      </c>
      <c r="E364" s="126">
        <v>63900</v>
      </c>
      <c r="F364" s="126">
        <v>24</v>
      </c>
      <c r="G364" s="126">
        <v>3353</v>
      </c>
      <c r="H364" s="126" t="s">
        <v>630</v>
      </c>
      <c r="I364" s="126" t="s">
        <v>4783</v>
      </c>
      <c r="J364" s="126" t="s">
        <v>4784</v>
      </c>
      <c r="K364" s="126" t="s">
        <v>4785</v>
      </c>
      <c r="L364" s="126" t="s">
        <v>88</v>
      </c>
      <c r="M364" s="128" t="s">
        <v>4786</v>
      </c>
      <c r="N364" s="126" t="s">
        <v>4580</v>
      </c>
      <c r="O364" s="128" t="s">
        <v>4787</v>
      </c>
      <c r="P364" s="126" t="s">
        <v>4788</v>
      </c>
      <c r="Q364" s="126" t="s">
        <v>4789</v>
      </c>
      <c r="R364" s="126" t="s">
        <v>4790</v>
      </c>
      <c r="S364" s="126">
        <v>3000</v>
      </c>
      <c r="T364" s="126">
        <v>24081</v>
      </c>
      <c r="U364" s="126">
        <v>27081</v>
      </c>
      <c r="V364" s="126" t="s">
        <v>4648</v>
      </c>
      <c r="W364" s="129" t="s">
        <v>4791</v>
      </c>
      <c r="X364" t="s">
        <v>4792</v>
      </c>
      <c r="Y364" t="s">
        <v>644</v>
      </c>
      <c r="Z364" t="s">
        <v>645</v>
      </c>
    </row>
    <row r="365" spans="1:26" x14ac:dyDescent="0.3">
      <c r="A365" s="126" t="s">
        <v>4793</v>
      </c>
      <c r="B365" s="126" t="s">
        <v>87</v>
      </c>
      <c r="C365" s="54" t="s">
        <v>702</v>
      </c>
      <c r="D365" s="127" t="s">
        <v>4794</v>
      </c>
      <c r="E365" s="126">
        <v>58700</v>
      </c>
      <c r="F365" s="126">
        <v>40</v>
      </c>
      <c r="G365" s="126">
        <v>2321</v>
      </c>
      <c r="H365" s="126" t="s">
        <v>630</v>
      </c>
      <c r="I365" s="126" t="s">
        <v>4795</v>
      </c>
      <c r="J365" s="126" t="s">
        <v>1223</v>
      </c>
      <c r="K365" s="126" t="s">
        <v>4796</v>
      </c>
      <c r="L365" s="126" t="s">
        <v>4797</v>
      </c>
      <c r="M365" s="128" t="s">
        <v>4798</v>
      </c>
      <c r="N365" s="126" t="s">
        <v>4580</v>
      </c>
      <c r="O365" s="128" t="s">
        <v>4799</v>
      </c>
      <c r="P365" s="126" t="s">
        <v>4800</v>
      </c>
      <c r="Q365" s="126" t="s">
        <v>4801</v>
      </c>
      <c r="R365" s="126" t="s">
        <v>4802</v>
      </c>
      <c r="S365" s="126">
        <v>3000</v>
      </c>
      <c r="T365" s="126">
        <v>25230</v>
      </c>
      <c r="U365" s="126">
        <v>28230</v>
      </c>
      <c r="V365" s="126" t="s">
        <v>992</v>
      </c>
      <c r="W365" s="129" t="s">
        <v>4803</v>
      </c>
      <c r="X365" t="s">
        <v>4804</v>
      </c>
      <c r="Y365" t="s">
        <v>644</v>
      </c>
      <c r="Z365" t="s">
        <v>645</v>
      </c>
    </row>
    <row r="366" spans="1:26" x14ac:dyDescent="0.3">
      <c r="A366" s="126" t="s">
        <v>4805</v>
      </c>
      <c r="B366" s="126" t="s">
        <v>87</v>
      </c>
      <c r="C366" s="54" t="s">
        <v>702</v>
      </c>
      <c r="D366" s="127" t="s">
        <v>4806</v>
      </c>
      <c r="E366" s="126">
        <v>54730</v>
      </c>
      <c r="F366" s="126">
        <v>37</v>
      </c>
      <c r="G366" s="126">
        <v>2349</v>
      </c>
      <c r="H366" s="126" t="s">
        <v>630</v>
      </c>
      <c r="I366" s="126" t="s">
        <v>4807</v>
      </c>
      <c r="J366" s="126" t="s">
        <v>4808</v>
      </c>
      <c r="K366" s="126" t="s">
        <v>4809</v>
      </c>
      <c r="L366" s="126" t="s">
        <v>4797</v>
      </c>
      <c r="M366" s="128" t="s">
        <v>4810</v>
      </c>
      <c r="N366" s="126" t="s">
        <v>4580</v>
      </c>
      <c r="O366" s="128" t="s">
        <v>4811</v>
      </c>
      <c r="P366" s="126" t="s">
        <v>4812</v>
      </c>
      <c r="Q366" s="126" t="s">
        <v>4813</v>
      </c>
      <c r="R366" s="126" t="s">
        <v>4814</v>
      </c>
      <c r="S366" s="126">
        <v>3000</v>
      </c>
      <c r="T366" s="126">
        <v>21752</v>
      </c>
      <c r="U366" s="126">
        <v>24752</v>
      </c>
      <c r="V366" s="126" t="s">
        <v>817</v>
      </c>
      <c r="W366" s="129" t="s">
        <v>4815</v>
      </c>
      <c r="X366" t="s">
        <v>4816</v>
      </c>
      <c r="Y366" t="s">
        <v>644</v>
      </c>
      <c r="Z366" t="s">
        <v>645</v>
      </c>
    </row>
    <row r="367" spans="1:26" x14ac:dyDescent="0.3">
      <c r="A367" s="126" t="s">
        <v>4817</v>
      </c>
      <c r="B367" s="126" t="s">
        <v>4818</v>
      </c>
      <c r="C367" s="54" t="s">
        <v>661</v>
      </c>
      <c r="D367" s="127" t="s">
        <v>4427</v>
      </c>
      <c r="E367" s="126">
        <v>63813</v>
      </c>
      <c r="F367" s="126">
        <v>37</v>
      </c>
      <c r="G367" s="126">
        <v>2792</v>
      </c>
      <c r="H367" s="126" t="s">
        <v>630</v>
      </c>
      <c r="I367" s="126" t="s">
        <v>4819</v>
      </c>
      <c r="J367" s="126" t="s">
        <v>4820</v>
      </c>
      <c r="K367" s="126" t="s">
        <v>4821</v>
      </c>
      <c r="L367" s="126" t="s">
        <v>4822</v>
      </c>
      <c r="M367" s="128" t="s">
        <v>4823</v>
      </c>
      <c r="N367" s="126" t="s">
        <v>4580</v>
      </c>
      <c r="O367" s="128" t="s">
        <v>4824</v>
      </c>
      <c r="P367" s="126" t="s">
        <v>4825</v>
      </c>
      <c r="Q367" s="126" t="s">
        <v>4826</v>
      </c>
      <c r="R367" s="126" t="s">
        <v>4827</v>
      </c>
      <c r="S367" s="126">
        <v>3000</v>
      </c>
      <c r="T367" s="126">
        <v>101550</v>
      </c>
      <c r="U367" s="126">
        <v>104550</v>
      </c>
      <c r="V367" s="126" t="s">
        <v>857</v>
      </c>
      <c r="W367" s="129" t="s">
        <v>4828</v>
      </c>
      <c r="X367" t="s">
        <v>4829</v>
      </c>
      <c r="Y367" t="s">
        <v>644</v>
      </c>
      <c r="Z367" t="s">
        <v>645</v>
      </c>
    </row>
    <row r="368" spans="1:26" x14ac:dyDescent="0.3">
      <c r="A368" s="126" t="s">
        <v>4830</v>
      </c>
      <c r="B368" s="126" t="s">
        <v>87</v>
      </c>
      <c r="C368" s="54" t="s">
        <v>661</v>
      </c>
      <c r="D368" s="127" t="s">
        <v>4831</v>
      </c>
      <c r="E368" s="126">
        <v>64900</v>
      </c>
      <c r="F368" s="126">
        <v>40</v>
      </c>
      <c r="G368" s="126">
        <v>2786</v>
      </c>
      <c r="H368" s="126" t="s">
        <v>630</v>
      </c>
      <c r="I368" s="126" t="s">
        <v>4832</v>
      </c>
      <c r="J368" s="126" t="s">
        <v>4833</v>
      </c>
      <c r="K368" s="126" t="s">
        <v>4834</v>
      </c>
      <c r="L368" s="126" t="s">
        <v>4797</v>
      </c>
      <c r="M368" s="128" t="s">
        <v>4835</v>
      </c>
      <c r="N368" s="126" t="s">
        <v>4580</v>
      </c>
      <c r="O368" s="128" t="s">
        <v>4836</v>
      </c>
      <c r="P368" s="126" t="s">
        <v>4837</v>
      </c>
      <c r="Q368" s="126" t="s">
        <v>4838</v>
      </c>
      <c r="R368" s="126" t="s">
        <v>4839</v>
      </c>
      <c r="S368" s="126">
        <v>3000</v>
      </c>
      <c r="T368" s="126">
        <v>28205</v>
      </c>
      <c r="U368" s="126">
        <v>31205</v>
      </c>
      <c r="V368" s="126" t="s">
        <v>4648</v>
      </c>
      <c r="W368" s="129" t="s">
        <v>4840</v>
      </c>
      <c r="X368" t="s">
        <v>4841</v>
      </c>
      <c r="Y368" t="s">
        <v>644</v>
      </c>
      <c r="Z368" t="s">
        <v>645</v>
      </c>
    </row>
    <row r="369" spans="1:26" x14ac:dyDescent="0.3">
      <c r="A369" s="126" t="s">
        <v>4842</v>
      </c>
      <c r="B369" s="126" t="s">
        <v>87</v>
      </c>
      <c r="C369" s="1" t="s">
        <v>682</v>
      </c>
      <c r="D369" s="127" t="s">
        <v>2351</v>
      </c>
      <c r="E369" s="126">
        <v>71400</v>
      </c>
      <c r="F369" s="126">
        <v>24</v>
      </c>
      <c r="G369" s="126">
        <v>3510</v>
      </c>
      <c r="H369" s="126" t="s">
        <v>630</v>
      </c>
      <c r="I369" s="126" t="s">
        <v>4843</v>
      </c>
      <c r="J369" s="126" t="s">
        <v>4844</v>
      </c>
      <c r="K369" s="126" t="s">
        <v>4845</v>
      </c>
      <c r="L369" s="126" t="s">
        <v>4761</v>
      </c>
      <c r="M369" s="128" t="s">
        <v>4846</v>
      </c>
      <c r="N369" s="126" t="s">
        <v>4580</v>
      </c>
      <c r="O369" s="128" t="s">
        <v>4847</v>
      </c>
      <c r="P369" s="126" t="s">
        <v>4848</v>
      </c>
      <c r="Q369" s="126" t="s">
        <v>4849</v>
      </c>
      <c r="R369" s="126" t="s">
        <v>4850</v>
      </c>
      <c r="S369" s="126">
        <v>3000</v>
      </c>
      <c r="T369" s="126">
        <v>60911</v>
      </c>
      <c r="U369" s="126">
        <v>63911</v>
      </c>
      <c r="V369" s="126" t="s">
        <v>2312</v>
      </c>
      <c r="W369" s="129" t="s">
        <v>4851</v>
      </c>
      <c r="X369" t="s">
        <v>4852</v>
      </c>
      <c r="Y369" t="s">
        <v>644</v>
      </c>
      <c r="Z369" t="s">
        <v>645</v>
      </c>
    </row>
    <row r="370" spans="1:26" x14ac:dyDescent="0.3">
      <c r="A370" s="126" t="s">
        <v>4853</v>
      </c>
      <c r="B370" s="126" t="s">
        <v>87</v>
      </c>
      <c r="C370" s="1" t="s">
        <v>682</v>
      </c>
      <c r="D370" s="127" t="s">
        <v>4854</v>
      </c>
      <c r="E370" s="126">
        <v>60667</v>
      </c>
      <c r="F370" s="126">
        <v>54</v>
      </c>
      <c r="G370" s="126">
        <v>2368</v>
      </c>
      <c r="H370" s="126" t="s">
        <v>630</v>
      </c>
      <c r="I370" s="126" t="s">
        <v>4855</v>
      </c>
      <c r="J370" s="126" t="s">
        <v>4856</v>
      </c>
      <c r="K370" s="126" t="s">
        <v>4857</v>
      </c>
      <c r="L370" s="126" t="s">
        <v>4737</v>
      </c>
      <c r="M370" s="128" t="s">
        <v>4858</v>
      </c>
      <c r="N370" s="126" t="s">
        <v>4580</v>
      </c>
      <c r="O370" s="128" t="s">
        <v>4859</v>
      </c>
      <c r="P370" s="126" t="s">
        <v>4860</v>
      </c>
      <c r="Q370" s="126" t="s">
        <v>4861</v>
      </c>
      <c r="R370" s="126" t="s">
        <v>4862</v>
      </c>
      <c r="S370" s="126">
        <v>3000</v>
      </c>
      <c r="T370" s="126">
        <v>73635</v>
      </c>
      <c r="U370" s="126">
        <v>76635</v>
      </c>
      <c r="V370" s="126" t="s">
        <v>992</v>
      </c>
      <c r="W370" s="129" t="s">
        <v>4863</v>
      </c>
      <c r="X370" t="s">
        <v>4864</v>
      </c>
      <c r="Y370" t="s">
        <v>644</v>
      </c>
      <c r="Z370" t="s">
        <v>645</v>
      </c>
    </row>
    <row r="371" spans="1:26" x14ac:dyDescent="0.3">
      <c r="A371" s="126" t="s">
        <v>4865</v>
      </c>
      <c r="B371" s="126" t="s">
        <v>87</v>
      </c>
      <c r="C371" s="54" t="s">
        <v>702</v>
      </c>
      <c r="D371" s="127" t="s">
        <v>4866</v>
      </c>
      <c r="E371" s="126">
        <v>43900</v>
      </c>
      <c r="F371" s="126">
        <v>31</v>
      </c>
      <c r="G371" s="126">
        <v>2367</v>
      </c>
      <c r="H371" s="126" t="s">
        <v>630</v>
      </c>
      <c r="I371" s="126" t="s">
        <v>4867</v>
      </c>
      <c r="J371" s="126" t="s">
        <v>4868</v>
      </c>
      <c r="K371" s="126" t="s">
        <v>4869</v>
      </c>
      <c r="L371" s="126" t="s">
        <v>4761</v>
      </c>
      <c r="M371" s="128" t="s">
        <v>4870</v>
      </c>
      <c r="N371" s="126" t="s">
        <v>4580</v>
      </c>
      <c r="O371" s="128" t="s">
        <v>4871</v>
      </c>
      <c r="P371" s="126" t="s">
        <v>4872</v>
      </c>
      <c r="Q371" s="126" t="s">
        <v>4873</v>
      </c>
      <c r="R371" s="126" t="s">
        <v>4874</v>
      </c>
      <c r="S371" s="126">
        <v>3000</v>
      </c>
      <c r="T371" s="126">
        <v>34532</v>
      </c>
      <c r="U371" s="126">
        <v>37532</v>
      </c>
      <c r="V371" s="126" t="s">
        <v>1005</v>
      </c>
      <c r="W371" s="129" t="s">
        <v>4875</v>
      </c>
      <c r="X371" t="s">
        <v>4876</v>
      </c>
      <c r="Y371" t="s">
        <v>644</v>
      </c>
      <c r="Z371" t="s">
        <v>645</v>
      </c>
    </row>
    <row r="372" spans="1:26" x14ac:dyDescent="0.3">
      <c r="A372" s="126" t="s">
        <v>4877</v>
      </c>
      <c r="B372" s="126" t="s">
        <v>87</v>
      </c>
      <c r="C372" s="1" t="s">
        <v>682</v>
      </c>
      <c r="D372" s="127" t="s">
        <v>4878</v>
      </c>
      <c r="E372" s="126">
        <v>77100</v>
      </c>
      <c r="F372" s="126">
        <v>36</v>
      </c>
      <c r="G372" s="126">
        <v>2984</v>
      </c>
      <c r="H372" s="126" t="s">
        <v>630</v>
      </c>
      <c r="I372" s="126" t="s">
        <v>4879</v>
      </c>
      <c r="J372" s="126" t="s">
        <v>4880</v>
      </c>
      <c r="K372" s="126" t="s">
        <v>4881</v>
      </c>
      <c r="L372" s="126" t="s">
        <v>4737</v>
      </c>
      <c r="M372" s="128" t="s">
        <v>4882</v>
      </c>
      <c r="N372" s="126" t="s">
        <v>4580</v>
      </c>
      <c r="O372" s="128" t="s">
        <v>4883</v>
      </c>
      <c r="P372" s="126" t="s">
        <v>4884</v>
      </c>
      <c r="Q372" s="126" t="s">
        <v>4885</v>
      </c>
      <c r="R372" s="126" t="s">
        <v>4886</v>
      </c>
      <c r="S372" s="126">
        <v>0</v>
      </c>
      <c r="T372" s="126">
        <v>105690</v>
      </c>
      <c r="U372" s="126">
        <v>105690</v>
      </c>
      <c r="V372" s="126" t="s">
        <v>4156</v>
      </c>
      <c r="W372" s="129" t="s">
        <v>4887</v>
      </c>
      <c r="X372" t="s">
        <v>4888</v>
      </c>
      <c r="Y372" t="s">
        <v>644</v>
      </c>
      <c r="Z372" t="s">
        <v>645</v>
      </c>
    </row>
    <row r="373" spans="1:26" x14ac:dyDescent="0.3">
      <c r="A373" s="126" t="s">
        <v>4889</v>
      </c>
      <c r="B373" s="126" t="s">
        <v>87</v>
      </c>
      <c r="C373" s="54" t="s">
        <v>628</v>
      </c>
      <c r="D373" s="127" t="s">
        <v>4890</v>
      </c>
      <c r="E373" s="126">
        <v>46200</v>
      </c>
      <c r="F373" s="126">
        <v>30</v>
      </c>
      <c r="G373" s="126">
        <v>1925</v>
      </c>
      <c r="H373" s="126" t="s">
        <v>630</v>
      </c>
      <c r="I373" s="126" t="s">
        <v>4891</v>
      </c>
      <c r="J373" s="126" t="s">
        <v>293</v>
      </c>
      <c r="K373" s="126" t="s">
        <v>4892</v>
      </c>
      <c r="L373" s="126" t="s">
        <v>4893</v>
      </c>
      <c r="M373" s="128" t="s">
        <v>4894</v>
      </c>
      <c r="N373" s="126" t="s">
        <v>4580</v>
      </c>
      <c r="O373" s="128" t="s">
        <v>4895</v>
      </c>
      <c r="P373" s="126" t="s">
        <v>4896</v>
      </c>
      <c r="Q373" s="126" t="s">
        <v>4897</v>
      </c>
      <c r="R373" s="126" t="s">
        <v>4898</v>
      </c>
      <c r="S373" s="126">
        <v>3000</v>
      </c>
      <c r="T373" s="126">
        <v>13967</v>
      </c>
      <c r="U373" s="126">
        <v>16967</v>
      </c>
      <c r="V373" s="126" t="s">
        <v>4899</v>
      </c>
      <c r="W373" s="129" t="s">
        <v>4900</v>
      </c>
      <c r="X373" t="s">
        <v>4901</v>
      </c>
      <c r="Y373" t="s">
        <v>644</v>
      </c>
      <c r="Z373" t="s">
        <v>645</v>
      </c>
    </row>
    <row r="374" spans="1:26" x14ac:dyDescent="0.3">
      <c r="A374" s="126" t="s">
        <v>4902</v>
      </c>
      <c r="B374" s="126" t="s">
        <v>87</v>
      </c>
      <c r="C374" s="54" t="s">
        <v>628</v>
      </c>
      <c r="D374" s="127" t="s">
        <v>4903</v>
      </c>
      <c r="E374" s="126">
        <v>68700</v>
      </c>
      <c r="F374" s="126">
        <v>40</v>
      </c>
      <c r="G374" s="126">
        <v>2653</v>
      </c>
      <c r="H374" s="126" t="s">
        <v>630</v>
      </c>
      <c r="I374" s="126" t="s">
        <v>4904</v>
      </c>
      <c r="J374" s="126" t="s">
        <v>2137</v>
      </c>
      <c r="K374" s="126" t="s">
        <v>4905</v>
      </c>
      <c r="L374" s="126" t="s">
        <v>4906</v>
      </c>
      <c r="M374" s="128" t="s">
        <v>4907</v>
      </c>
      <c r="N374" s="126" t="s">
        <v>4580</v>
      </c>
      <c r="O374" s="128" t="s">
        <v>4908</v>
      </c>
      <c r="P374" s="126" t="s">
        <v>4909</v>
      </c>
      <c r="Q374" s="126" t="s">
        <v>4910</v>
      </c>
      <c r="R374" s="126" t="s">
        <v>4911</v>
      </c>
      <c r="S374" s="126">
        <v>3000</v>
      </c>
      <c r="T374" s="126">
        <v>64831</v>
      </c>
      <c r="U374" s="126">
        <v>67831</v>
      </c>
      <c r="V374" s="126" t="s">
        <v>2753</v>
      </c>
      <c r="W374" s="129" t="s">
        <v>4912</v>
      </c>
      <c r="X374" t="s">
        <v>4913</v>
      </c>
      <c r="Y374" t="s">
        <v>644</v>
      </c>
      <c r="Z374" t="s">
        <v>645</v>
      </c>
    </row>
    <row r="375" spans="1:26" x14ac:dyDescent="0.3">
      <c r="A375" s="126" t="s">
        <v>4914</v>
      </c>
      <c r="B375" s="126" t="s">
        <v>87</v>
      </c>
      <c r="C375" s="54" t="s">
        <v>702</v>
      </c>
      <c r="D375" s="127" t="s">
        <v>4915</v>
      </c>
      <c r="E375" s="126">
        <v>83160</v>
      </c>
      <c r="F375" s="126">
        <v>36</v>
      </c>
      <c r="G375" s="126">
        <v>3246</v>
      </c>
      <c r="H375" s="126" t="s">
        <v>630</v>
      </c>
      <c r="I375" s="126" t="s">
        <v>4916</v>
      </c>
      <c r="J375" s="126" t="s">
        <v>2137</v>
      </c>
      <c r="K375" s="126" t="s">
        <v>4917</v>
      </c>
      <c r="L375" s="126" t="s">
        <v>4797</v>
      </c>
      <c r="M375" s="128" t="s">
        <v>4918</v>
      </c>
      <c r="N375" s="126" t="s">
        <v>4580</v>
      </c>
      <c r="O375" s="128" t="s">
        <v>4919</v>
      </c>
      <c r="P375" s="126" t="s">
        <v>4920</v>
      </c>
      <c r="Q375" s="126" t="s">
        <v>4921</v>
      </c>
      <c r="R375" s="126" t="s">
        <v>4922</v>
      </c>
      <c r="S375" s="126">
        <v>3000</v>
      </c>
      <c r="T375" s="126">
        <v>78350</v>
      </c>
      <c r="U375" s="126">
        <v>81350</v>
      </c>
      <c r="V375" s="126" t="s">
        <v>641</v>
      </c>
      <c r="W375" s="129" t="s">
        <v>4923</v>
      </c>
      <c r="X375" t="s">
        <v>4924</v>
      </c>
      <c r="Y375" t="s">
        <v>644</v>
      </c>
      <c r="Z375" t="s">
        <v>645</v>
      </c>
    </row>
    <row r="376" spans="1:26" x14ac:dyDescent="0.3">
      <c r="A376" s="126" t="s">
        <v>4925</v>
      </c>
      <c r="B376" s="126" t="s">
        <v>87</v>
      </c>
      <c r="C376" s="54" t="s">
        <v>628</v>
      </c>
      <c r="D376" s="127" t="s">
        <v>4926</v>
      </c>
      <c r="E376" s="126">
        <v>52200</v>
      </c>
      <c r="F376" s="126">
        <v>30</v>
      </c>
      <c r="G376" s="126">
        <v>2175</v>
      </c>
      <c r="H376" s="126" t="s">
        <v>630</v>
      </c>
      <c r="I376" s="126" t="s">
        <v>4927</v>
      </c>
      <c r="J376" s="126" t="s">
        <v>4928</v>
      </c>
      <c r="K376" s="126" t="s">
        <v>4929</v>
      </c>
      <c r="L376" s="126" t="s">
        <v>4893</v>
      </c>
      <c r="M376" s="128" t="s">
        <v>4930</v>
      </c>
      <c r="N376" s="126" t="s">
        <v>4580</v>
      </c>
      <c r="O376" s="128" t="s">
        <v>4931</v>
      </c>
      <c r="P376" s="126" t="s">
        <v>4932</v>
      </c>
      <c r="Q376" s="126" t="s">
        <v>4933</v>
      </c>
      <c r="R376" s="126" t="s">
        <v>4934</v>
      </c>
      <c r="S376" s="126">
        <v>3000</v>
      </c>
      <c r="T376" s="126">
        <v>82086</v>
      </c>
      <c r="U376" s="126">
        <v>85086</v>
      </c>
      <c r="V376" s="126" t="s">
        <v>992</v>
      </c>
      <c r="W376" s="129" t="s">
        <v>4935</v>
      </c>
      <c r="X376" t="s">
        <v>4936</v>
      </c>
      <c r="Y376" t="s">
        <v>644</v>
      </c>
      <c r="Z376" t="s">
        <v>645</v>
      </c>
    </row>
    <row r="377" spans="1:26" x14ac:dyDescent="0.3">
      <c r="A377" s="126" t="s">
        <v>4937</v>
      </c>
      <c r="B377" s="126" t="s">
        <v>87</v>
      </c>
      <c r="C377" s="54" t="s">
        <v>702</v>
      </c>
      <c r="D377" s="127" t="s">
        <v>4938</v>
      </c>
      <c r="E377" s="126">
        <v>198909</v>
      </c>
      <c r="F377" s="126">
        <v>68</v>
      </c>
      <c r="G377" s="126">
        <v>6117</v>
      </c>
      <c r="H377" s="126" t="s">
        <v>630</v>
      </c>
      <c r="I377" s="126" t="s">
        <v>4939</v>
      </c>
      <c r="J377" s="126" t="s">
        <v>4940</v>
      </c>
      <c r="K377" s="126" t="s">
        <v>4941</v>
      </c>
      <c r="L377" s="126" t="s">
        <v>88</v>
      </c>
      <c r="M377" s="128" t="s">
        <v>4942</v>
      </c>
      <c r="N377" s="126" t="s">
        <v>4580</v>
      </c>
      <c r="O377" s="128" t="s">
        <v>4943</v>
      </c>
      <c r="P377" s="1" t="s">
        <v>682</v>
      </c>
      <c r="Q377" s="126" t="s">
        <v>4944</v>
      </c>
      <c r="R377" s="126" t="s">
        <v>4945</v>
      </c>
      <c r="S377" s="126">
        <v>5000</v>
      </c>
      <c r="T377" s="126">
        <v>394086</v>
      </c>
      <c r="U377" s="126">
        <v>399086</v>
      </c>
      <c r="V377" s="126" t="s">
        <v>4946</v>
      </c>
      <c r="W377" s="129" t="s">
        <v>4947</v>
      </c>
      <c r="X377" t="s">
        <v>4948</v>
      </c>
      <c r="Y377" t="s">
        <v>644</v>
      </c>
      <c r="Z377" t="s">
        <v>645</v>
      </c>
    </row>
    <row r="378" spans="1:26" x14ac:dyDescent="0.3">
      <c r="A378" s="126" t="s">
        <v>4949</v>
      </c>
      <c r="B378" s="126" t="s">
        <v>87</v>
      </c>
      <c r="C378" s="54" t="s">
        <v>628</v>
      </c>
      <c r="D378" s="127" t="s">
        <v>4950</v>
      </c>
      <c r="E378" s="126">
        <v>185300</v>
      </c>
      <c r="F378" s="126">
        <v>57</v>
      </c>
      <c r="G378" s="126">
        <v>5482</v>
      </c>
      <c r="H378" s="126" t="s">
        <v>630</v>
      </c>
      <c r="I378" s="126" t="s">
        <v>4951</v>
      </c>
      <c r="J378" s="126" t="s">
        <v>4952</v>
      </c>
      <c r="K378" s="126" t="s">
        <v>4953</v>
      </c>
      <c r="L378" s="126" t="s">
        <v>88</v>
      </c>
      <c r="M378" s="128" t="s">
        <v>4954</v>
      </c>
      <c r="N378" s="126" t="s">
        <v>4580</v>
      </c>
      <c r="O378" s="128" t="s">
        <v>4955</v>
      </c>
      <c r="P378" s="126" t="s">
        <v>4956</v>
      </c>
      <c r="Q378" s="126" t="s">
        <v>4957</v>
      </c>
      <c r="R378" s="126" t="s">
        <v>4958</v>
      </c>
      <c r="S378" s="126">
        <v>5000</v>
      </c>
      <c r="T378" s="126">
        <v>235907</v>
      </c>
      <c r="U378" s="126">
        <v>240907</v>
      </c>
      <c r="V378" s="126" t="s">
        <v>4946</v>
      </c>
      <c r="W378" s="129" t="s">
        <v>4959</v>
      </c>
      <c r="X378" t="s">
        <v>4960</v>
      </c>
      <c r="Y378" t="s">
        <v>644</v>
      </c>
      <c r="Z378" t="s">
        <v>645</v>
      </c>
    </row>
    <row r="379" spans="1:26" x14ac:dyDescent="0.3">
      <c r="A379" s="1" t="s">
        <v>4961</v>
      </c>
      <c r="B379" s="126" t="s">
        <v>87</v>
      </c>
      <c r="C379" s="54" t="s">
        <v>1335</v>
      </c>
      <c r="D379" s="127" t="s">
        <v>4962</v>
      </c>
      <c r="E379" s="1">
        <v>193755</v>
      </c>
      <c r="F379" s="1">
        <v>69</v>
      </c>
      <c r="G379" s="1">
        <v>5151</v>
      </c>
      <c r="H379" s="1" t="s">
        <v>630</v>
      </c>
      <c r="I379" s="1" t="s">
        <v>4963</v>
      </c>
      <c r="J379" s="1" t="s">
        <v>4964</v>
      </c>
      <c r="K379" s="126" t="s">
        <v>4965</v>
      </c>
      <c r="L379" s="1" t="s">
        <v>88</v>
      </c>
      <c r="M379" s="131">
        <v>411001</v>
      </c>
      <c r="N379" s="126" t="s">
        <v>4580</v>
      </c>
      <c r="O379" s="131">
        <v>9767946045</v>
      </c>
      <c r="P379" s="1" t="s">
        <v>4966</v>
      </c>
      <c r="Q379" s="1" t="s">
        <v>4967</v>
      </c>
      <c r="R379" s="1" t="s">
        <v>4968</v>
      </c>
      <c r="S379" s="1">
        <v>5000</v>
      </c>
      <c r="T379" s="1">
        <v>331475</v>
      </c>
      <c r="U379" s="1">
        <v>336475</v>
      </c>
      <c r="V379" s="1" t="s">
        <v>4946</v>
      </c>
      <c r="W379" s="129" t="s">
        <v>4969</v>
      </c>
      <c r="X379" t="s">
        <v>4970</v>
      </c>
      <c r="Y379" t="s">
        <v>644</v>
      </c>
      <c r="Z379" t="s">
        <v>645</v>
      </c>
    </row>
    <row r="380" spans="1:26" x14ac:dyDescent="0.3">
      <c r="A380" s="1" t="s">
        <v>4971</v>
      </c>
      <c r="B380" s="126" t="s">
        <v>87</v>
      </c>
      <c r="C380" s="1" t="s">
        <v>682</v>
      </c>
      <c r="D380" s="127" t="s">
        <v>3066</v>
      </c>
      <c r="E380" s="1">
        <v>51000</v>
      </c>
      <c r="F380" s="1">
        <v>24</v>
      </c>
      <c r="G380" s="1">
        <v>2621</v>
      </c>
      <c r="H380" s="1" t="s">
        <v>630</v>
      </c>
      <c r="I380" s="1" t="s">
        <v>4972</v>
      </c>
      <c r="J380" s="1" t="s">
        <v>4973</v>
      </c>
      <c r="K380" s="126" t="s">
        <v>4974</v>
      </c>
      <c r="L380" s="1" t="s">
        <v>4593</v>
      </c>
      <c r="M380" s="131">
        <v>431001</v>
      </c>
      <c r="N380" s="126" t="s">
        <v>4580</v>
      </c>
      <c r="O380" s="131">
        <v>9175462777</v>
      </c>
      <c r="P380" s="1" t="s">
        <v>4975</v>
      </c>
      <c r="Q380" s="1" t="s">
        <v>4976</v>
      </c>
      <c r="R380" s="1" t="s">
        <v>4977</v>
      </c>
      <c r="S380" s="1">
        <v>3000</v>
      </c>
      <c r="T380" s="1">
        <v>138274</v>
      </c>
      <c r="U380" s="1">
        <v>141274</v>
      </c>
      <c r="V380" s="1" t="s">
        <v>1141</v>
      </c>
      <c r="W380" s="129" t="s">
        <v>4978</v>
      </c>
      <c r="X380" t="s">
        <v>4979</v>
      </c>
      <c r="Y380" t="s">
        <v>644</v>
      </c>
      <c r="Z380" t="s">
        <v>645</v>
      </c>
    </row>
    <row r="381" spans="1:26" x14ac:dyDescent="0.3">
      <c r="A381" s="1" t="s">
        <v>4980</v>
      </c>
      <c r="B381" s="126" t="s">
        <v>87</v>
      </c>
      <c r="C381" s="54" t="s">
        <v>2565</v>
      </c>
      <c r="D381" s="127" t="s">
        <v>2714</v>
      </c>
      <c r="E381" s="1">
        <v>66149</v>
      </c>
      <c r="F381" s="1">
        <v>31</v>
      </c>
      <c r="G381" s="1">
        <v>3680</v>
      </c>
      <c r="H381" s="1" t="s">
        <v>630</v>
      </c>
      <c r="I381" s="1" t="s">
        <v>4981</v>
      </c>
      <c r="J381" s="1" t="s">
        <v>4982</v>
      </c>
      <c r="K381" s="126" t="s">
        <v>4983</v>
      </c>
      <c r="L381" s="1" t="s">
        <v>4656</v>
      </c>
      <c r="M381" s="131">
        <v>431804</v>
      </c>
      <c r="N381" s="126" t="s">
        <v>4580</v>
      </c>
      <c r="O381" s="131">
        <v>9119453645</v>
      </c>
      <c r="P381" s="1" t="s">
        <v>4984</v>
      </c>
      <c r="Q381" s="1" t="s">
        <v>4985</v>
      </c>
      <c r="R381" s="1" t="s">
        <v>4986</v>
      </c>
      <c r="S381" s="1">
        <v>3000</v>
      </c>
      <c r="T381" s="1">
        <v>77659</v>
      </c>
      <c r="U381" s="1">
        <v>80659</v>
      </c>
      <c r="V381" s="1" t="s">
        <v>2392</v>
      </c>
      <c r="W381" s="129" t="s">
        <v>4987</v>
      </c>
      <c r="X381" t="s">
        <v>4988</v>
      </c>
      <c r="Y381" t="s">
        <v>644</v>
      </c>
      <c r="Z381" t="s">
        <v>645</v>
      </c>
    </row>
    <row r="382" spans="1:26" x14ac:dyDescent="0.3">
      <c r="A382" s="1" t="s">
        <v>4989</v>
      </c>
      <c r="B382" s="126" t="s">
        <v>87</v>
      </c>
      <c r="C382" s="54" t="s">
        <v>1335</v>
      </c>
      <c r="D382" s="127" t="s">
        <v>4990</v>
      </c>
      <c r="E382" s="1">
        <v>188909</v>
      </c>
      <c r="F382" s="1">
        <v>68</v>
      </c>
      <c r="G382" s="1">
        <v>5809</v>
      </c>
      <c r="H382" s="1" t="s">
        <v>630</v>
      </c>
      <c r="I382" s="1" t="s">
        <v>4991</v>
      </c>
      <c r="J382" s="1" t="s">
        <v>3630</v>
      </c>
      <c r="K382" s="126" t="s">
        <v>4992</v>
      </c>
      <c r="L382" s="1" t="s">
        <v>88</v>
      </c>
      <c r="M382" s="131">
        <v>412201</v>
      </c>
      <c r="N382" s="126" t="s">
        <v>4580</v>
      </c>
      <c r="O382" s="131">
        <v>9049516061</v>
      </c>
      <c r="P382" s="1" t="s">
        <v>4993</v>
      </c>
      <c r="Q382" s="1" t="s">
        <v>4994</v>
      </c>
      <c r="R382" s="1" t="s">
        <v>4995</v>
      </c>
      <c r="S382" s="1">
        <v>5000</v>
      </c>
      <c r="T382" s="1">
        <v>361749</v>
      </c>
      <c r="U382" s="1">
        <v>366749</v>
      </c>
      <c r="V382" s="1" t="s">
        <v>4946</v>
      </c>
      <c r="W382" s="129" t="s">
        <v>4996</v>
      </c>
      <c r="X382" t="s">
        <v>4997</v>
      </c>
      <c r="Y382" t="s">
        <v>644</v>
      </c>
      <c r="Z382" t="s">
        <v>645</v>
      </c>
    </row>
    <row r="383" spans="1:26" x14ac:dyDescent="0.3">
      <c r="A383" s="1" t="s">
        <v>4998</v>
      </c>
      <c r="B383" s="126" t="s">
        <v>87</v>
      </c>
      <c r="C383" s="54" t="s">
        <v>2483</v>
      </c>
      <c r="D383" s="127" t="s">
        <v>2644</v>
      </c>
      <c r="E383" s="1">
        <v>56884</v>
      </c>
      <c r="F383" s="1">
        <v>34</v>
      </c>
      <c r="G383" s="1">
        <v>2565</v>
      </c>
      <c r="H383" s="1" t="s">
        <v>630</v>
      </c>
      <c r="I383" s="1" t="s">
        <v>4999</v>
      </c>
      <c r="J383" s="1" t="s">
        <v>5000</v>
      </c>
      <c r="K383" s="126" t="s">
        <v>5001</v>
      </c>
      <c r="L383" s="1" t="s">
        <v>4893</v>
      </c>
      <c r="M383" s="131">
        <v>413253</v>
      </c>
      <c r="N383" s="126" t="s">
        <v>4580</v>
      </c>
      <c r="O383" s="131">
        <v>9552095726</v>
      </c>
      <c r="P383" s="1" t="s">
        <v>5002</v>
      </c>
      <c r="Q383" s="1" t="s">
        <v>5003</v>
      </c>
      <c r="R383" s="1" t="s">
        <v>5004</v>
      </c>
      <c r="S383" s="1">
        <v>3000</v>
      </c>
      <c r="T383" s="1">
        <v>61372</v>
      </c>
      <c r="U383" s="1">
        <v>64372</v>
      </c>
      <c r="V383" s="1" t="s">
        <v>1141</v>
      </c>
      <c r="W383" s="129" t="s">
        <v>5005</v>
      </c>
      <c r="X383" t="s">
        <v>5006</v>
      </c>
      <c r="Y383" t="s">
        <v>644</v>
      </c>
      <c r="Z383" t="s">
        <v>645</v>
      </c>
    </row>
    <row r="384" spans="1:26" x14ac:dyDescent="0.3">
      <c r="A384" s="1" t="s">
        <v>5007</v>
      </c>
      <c r="B384" s="126" t="s">
        <v>87</v>
      </c>
      <c r="C384" s="54" t="s">
        <v>1335</v>
      </c>
      <c r="D384" s="127" t="s">
        <v>5008</v>
      </c>
      <c r="E384" s="1">
        <v>77400</v>
      </c>
      <c r="F384" s="1">
        <v>24</v>
      </c>
      <c r="G384" s="1">
        <v>4077</v>
      </c>
      <c r="H384" s="1" t="s">
        <v>630</v>
      </c>
      <c r="I384" s="1" t="s">
        <v>5009</v>
      </c>
      <c r="J384" s="1" t="s">
        <v>5010</v>
      </c>
      <c r="K384" s="126" t="s">
        <v>5011</v>
      </c>
      <c r="L384" s="1" t="s">
        <v>88</v>
      </c>
      <c r="M384" s="131">
        <v>412101</v>
      </c>
      <c r="N384" s="126" t="s">
        <v>4580</v>
      </c>
      <c r="O384" s="131">
        <v>8975266499</v>
      </c>
      <c r="P384" s="1" t="s">
        <v>5012</v>
      </c>
      <c r="Q384" s="1" t="s">
        <v>5013</v>
      </c>
      <c r="R384" s="1" t="s">
        <v>5014</v>
      </c>
      <c r="S384" s="1">
        <v>3000</v>
      </c>
      <c r="T384" s="1">
        <v>60274</v>
      </c>
      <c r="U384" s="1">
        <v>63274</v>
      </c>
      <c r="V384" s="1" t="s">
        <v>2392</v>
      </c>
      <c r="W384" s="129" t="s">
        <v>5015</v>
      </c>
      <c r="X384" t="s">
        <v>5016</v>
      </c>
      <c r="Y384" t="s">
        <v>644</v>
      </c>
      <c r="Z384" t="s">
        <v>645</v>
      </c>
    </row>
    <row r="385" spans="1:26" x14ac:dyDescent="0.3">
      <c r="A385" s="1" t="s">
        <v>5017</v>
      </c>
      <c r="B385" s="126" t="s">
        <v>4818</v>
      </c>
      <c r="C385" s="54" t="s">
        <v>2254</v>
      </c>
      <c r="D385" s="127" t="s">
        <v>5018</v>
      </c>
      <c r="E385" s="1">
        <v>81399</v>
      </c>
      <c r="F385" s="1">
        <v>36</v>
      </c>
      <c r="G385" s="1">
        <v>3211</v>
      </c>
      <c r="H385" s="1" t="s">
        <v>630</v>
      </c>
      <c r="I385" s="1" t="s">
        <v>5019</v>
      </c>
      <c r="J385" s="1" t="s">
        <v>5020</v>
      </c>
      <c r="K385" s="126" t="s">
        <v>5021</v>
      </c>
      <c r="L385" s="1" t="s">
        <v>4822</v>
      </c>
      <c r="M385" s="131">
        <v>403504</v>
      </c>
      <c r="N385" s="126" t="s">
        <v>4580</v>
      </c>
      <c r="O385" s="131">
        <v>9545416584</v>
      </c>
      <c r="P385" s="1" t="s">
        <v>5022</v>
      </c>
      <c r="Q385" s="1" t="s">
        <v>5023</v>
      </c>
      <c r="R385" s="1" t="s">
        <v>5024</v>
      </c>
      <c r="S385" s="1">
        <v>3000</v>
      </c>
      <c r="T385" s="1">
        <v>107551</v>
      </c>
      <c r="U385" s="1">
        <v>110551</v>
      </c>
      <c r="V385" s="1" t="s">
        <v>4570</v>
      </c>
      <c r="W385" s="129" t="s">
        <v>5025</v>
      </c>
      <c r="X385" t="s">
        <v>5026</v>
      </c>
      <c r="Y385" t="s">
        <v>644</v>
      </c>
      <c r="Z385" t="s">
        <v>645</v>
      </c>
    </row>
    <row r="386" spans="1:26" x14ac:dyDescent="0.3">
      <c r="A386" s="1" t="s">
        <v>5027</v>
      </c>
      <c r="B386" s="126" t="s">
        <v>87</v>
      </c>
      <c r="C386" s="54" t="s">
        <v>2483</v>
      </c>
      <c r="D386" s="127" t="s">
        <v>2927</v>
      </c>
      <c r="E386" s="1">
        <v>57000</v>
      </c>
      <c r="F386" s="1">
        <v>34</v>
      </c>
      <c r="G386" s="1">
        <v>2565</v>
      </c>
      <c r="H386" s="1" t="s">
        <v>630</v>
      </c>
      <c r="I386" s="1" t="s">
        <v>5028</v>
      </c>
      <c r="J386" s="1" t="s">
        <v>5029</v>
      </c>
      <c r="K386" s="126" t="s">
        <v>5030</v>
      </c>
      <c r="L386" s="1" t="s">
        <v>4893</v>
      </c>
      <c r="M386" s="131">
        <v>413253</v>
      </c>
      <c r="N386" s="126" t="s">
        <v>4580</v>
      </c>
      <c r="O386" s="131">
        <v>9325715797</v>
      </c>
      <c r="P386" s="1" t="s">
        <v>5031</v>
      </c>
      <c r="Q386" s="1" t="s">
        <v>5032</v>
      </c>
      <c r="R386" s="1" t="s">
        <v>5033</v>
      </c>
      <c r="S386" s="1">
        <v>3000</v>
      </c>
      <c r="T386" s="1">
        <v>50639</v>
      </c>
      <c r="U386" s="1">
        <v>53639</v>
      </c>
      <c r="V386" s="1" t="s">
        <v>1019</v>
      </c>
      <c r="W386" s="129" t="s">
        <v>5034</v>
      </c>
      <c r="X386" t="s">
        <v>5035</v>
      </c>
      <c r="Y386" t="s">
        <v>644</v>
      </c>
      <c r="Z386" t="s">
        <v>645</v>
      </c>
    </row>
    <row r="387" spans="1:26" x14ac:dyDescent="0.3">
      <c r="A387" s="1" t="s">
        <v>5036</v>
      </c>
      <c r="B387" s="126" t="s">
        <v>87</v>
      </c>
      <c r="C387" s="54" t="s">
        <v>2483</v>
      </c>
      <c r="D387" s="127" t="s">
        <v>5037</v>
      </c>
      <c r="E387" s="1">
        <v>70600</v>
      </c>
      <c r="F387" s="1">
        <v>30</v>
      </c>
      <c r="G387" s="1">
        <v>3157</v>
      </c>
      <c r="H387" s="1" t="s">
        <v>630</v>
      </c>
      <c r="I387" s="1" t="s">
        <v>5038</v>
      </c>
      <c r="J387" s="1" t="s">
        <v>5039</v>
      </c>
      <c r="K387" s="126" t="s">
        <v>5040</v>
      </c>
      <c r="L387" s="1"/>
      <c r="M387" s="131">
        <v>431646</v>
      </c>
      <c r="N387" s="126" t="s">
        <v>4580</v>
      </c>
      <c r="O387" s="131">
        <v>8788064203</v>
      </c>
      <c r="P387" s="1" t="s">
        <v>5041</v>
      </c>
      <c r="Q387" s="1" t="s">
        <v>5042</v>
      </c>
      <c r="R387" s="1" t="s">
        <v>5043</v>
      </c>
      <c r="S387" s="1">
        <v>3000</v>
      </c>
      <c r="T387" s="1">
        <v>93735</v>
      </c>
      <c r="U387" s="1">
        <v>96735</v>
      </c>
      <c r="V387" s="1" t="s">
        <v>870</v>
      </c>
      <c r="W387" s="129" t="s">
        <v>5044</v>
      </c>
      <c r="X387" t="s">
        <v>5045</v>
      </c>
      <c r="Y387" t="s">
        <v>644</v>
      </c>
      <c r="Z387" t="s">
        <v>645</v>
      </c>
    </row>
    <row r="388" spans="1:26" x14ac:dyDescent="0.3">
      <c r="A388" s="1" t="s">
        <v>5046</v>
      </c>
      <c r="B388" s="126" t="s">
        <v>87</v>
      </c>
      <c r="C388" s="54" t="s">
        <v>1335</v>
      </c>
      <c r="D388" s="127" t="s">
        <v>5047</v>
      </c>
      <c r="E388" s="1">
        <v>201884</v>
      </c>
      <c r="F388" s="1">
        <v>80</v>
      </c>
      <c r="G388" s="1">
        <v>5367</v>
      </c>
      <c r="H388" s="1" t="s">
        <v>630</v>
      </c>
      <c r="I388" s="1" t="s">
        <v>5048</v>
      </c>
      <c r="J388" s="1" t="s">
        <v>5049</v>
      </c>
      <c r="K388" s="126" t="s">
        <v>5050</v>
      </c>
      <c r="L388" s="1" t="s">
        <v>88</v>
      </c>
      <c r="M388" s="131">
        <v>411001</v>
      </c>
      <c r="N388" s="126" t="s">
        <v>4580</v>
      </c>
      <c r="O388" s="131">
        <v>7030551192</v>
      </c>
      <c r="P388" s="1" t="s">
        <v>5051</v>
      </c>
      <c r="Q388" s="1" t="s">
        <v>5052</v>
      </c>
      <c r="R388" s="1" t="s">
        <v>5053</v>
      </c>
      <c r="S388" s="1">
        <v>5000</v>
      </c>
      <c r="T388" s="1">
        <v>439939</v>
      </c>
      <c r="U388" s="1">
        <v>444939</v>
      </c>
      <c r="V388" s="1" t="s">
        <v>5054</v>
      </c>
      <c r="W388" s="129" t="s">
        <v>5055</v>
      </c>
      <c r="X388" t="s">
        <v>5056</v>
      </c>
      <c r="Y388" t="s">
        <v>644</v>
      </c>
      <c r="Z388" t="s">
        <v>645</v>
      </c>
    </row>
    <row r="389" spans="1:26" x14ac:dyDescent="0.3">
      <c r="A389" s="1" t="s">
        <v>5057</v>
      </c>
      <c r="B389" s="126" t="s">
        <v>87</v>
      </c>
      <c r="C389" s="54" t="s">
        <v>2544</v>
      </c>
      <c r="D389" s="127" t="s">
        <v>5058</v>
      </c>
      <c r="E389" s="1">
        <v>62900</v>
      </c>
      <c r="F389" s="1">
        <v>36</v>
      </c>
      <c r="G389" s="1">
        <v>2560</v>
      </c>
      <c r="H389" s="1" t="s">
        <v>630</v>
      </c>
      <c r="I389" s="1" t="s">
        <v>5059</v>
      </c>
      <c r="J389" s="1" t="s">
        <v>5000</v>
      </c>
      <c r="K389" s="126" t="s">
        <v>5060</v>
      </c>
      <c r="L389" s="1" t="s">
        <v>5061</v>
      </c>
      <c r="M389" s="131">
        <v>442401</v>
      </c>
      <c r="N389" s="126" t="s">
        <v>4580</v>
      </c>
      <c r="O389" s="131">
        <v>7499601365</v>
      </c>
      <c r="P389" s="1" t="s">
        <v>5062</v>
      </c>
      <c r="Q389" s="1" t="s">
        <v>5063</v>
      </c>
      <c r="R389" s="1" t="s">
        <v>5064</v>
      </c>
      <c r="S389" s="1">
        <v>3000</v>
      </c>
      <c r="T389" s="1">
        <v>51564</v>
      </c>
      <c r="U389" s="1">
        <v>54564</v>
      </c>
      <c r="V389" s="1" t="s">
        <v>1019</v>
      </c>
      <c r="W389" s="129" t="s">
        <v>5065</v>
      </c>
      <c r="X389" t="s">
        <v>5066</v>
      </c>
      <c r="Y389" t="s">
        <v>644</v>
      </c>
      <c r="Z389" t="s">
        <v>645</v>
      </c>
    </row>
    <row r="390" spans="1:26" x14ac:dyDescent="0.3">
      <c r="A390" s="1" t="s">
        <v>5067</v>
      </c>
      <c r="B390" s="126" t="s">
        <v>87</v>
      </c>
      <c r="C390" s="54" t="s">
        <v>1335</v>
      </c>
      <c r="D390" s="127" t="s">
        <v>1938</v>
      </c>
      <c r="E390" s="1">
        <v>64000</v>
      </c>
      <c r="F390" s="1">
        <v>42</v>
      </c>
      <c r="G390" s="1">
        <v>2854</v>
      </c>
      <c r="H390" s="1" t="s">
        <v>630</v>
      </c>
      <c r="I390" s="1" t="s">
        <v>5068</v>
      </c>
      <c r="J390" s="1" t="s">
        <v>5069</v>
      </c>
      <c r="K390" s="126" t="s">
        <v>5070</v>
      </c>
      <c r="L390" s="1" t="s">
        <v>4593</v>
      </c>
      <c r="M390" s="131">
        <v>431001</v>
      </c>
      <c r="N390" s="126" t="s">
        <v>4580</v>
      </c>
      <c r="O390" s="131">
        <v>9890772376</v>
      </c>
      <c r="P390" s="1" t="s">
        <v>5071</v>
      </c>
      <c r="Q390" s="1" t="s">
        <v>5072</v>
      </c>
      <c r="R390" s="1" t="s">
        <v>5073</v>
      </c>
      <c r="S390" s="1">
        <v>3000</v>
      </c>
      <c r="T390" s="1">
        <v>15457</v>
      </c>
      <c r="U390" s="1">
        <v>18457</v>
      </c>
      <c r="V390" s="1" t="s">
        <v>883</v>
      </c>
      <c r="W390" s="129" t="s">
        <v>5074</v>
      </c>
      <c r="X390" t="s">
        <v>5075</v>
      </c>
      <c r="Y390" t="s">
        <v>644</v>
      </c>
      <c r="Z390" t="s">
        <v>645</v>
      </c>
    </row>
    <row r="391" spans="1:26" x14ac:dyDescent="0.3">
      <c r="A391" s="126" t="s">
        <v>5076</v>
      </c>
      <c r="B391" s="126" t="s">
        <v>5077</v>
      </c>
      <c r="C391" s="54" t="s">
        <v>702</v>
      </c>
      <c r="D391" s="127" t="s">
        <v>5078</v>
      </c>
      <c r="E391" s="126">
        <v>35000</v>
      </c>
      <c r="F391" s="126">
        <v>36</v>
      </c>
      <c r="G391" s="126">
        <v>1474</v>
      </c>
      <c r="H391" s="126" t="s">
        <v>630</v>
      </c>
      <c r="I391" s="126" t="s">
        <v>5079</v>
      </c>
      <c r="J391" s="126" t="s">
        <v>5080</v>
      </c>
      <c r="K391" s="126" t="s">
        <v>5081</v>
      </c>
      <c r="L391" s="1"/>
      <c r="M391" s="128" t="s">
        <v>5082</v>
      </c>
      <c r="N391" s="126" t="s">
        <v>5083</v>
      </c>
      <c r="O391" s="128" t="s">
        <v>5084</v>
      </c>
      <c r="P391" s="126" t="s">
        <v>5085</v>
      </c>
      <c r="Q391" s="126" t="s">
        <v>5086</v>
      </c>
      <c r="R391" s="126" t="s">
        <v>5087</v>
      </c>
      <c r="S391" s="126">
        <v>3000</v>
      </c>
      <c r="T391" s="126">
        <v>49702</v>
      </c>
      <c r="U391" s="126">
        <v>52702</v>
      </c>
      <c r="V391" s="126" t="s">
        <v>1675</v>
      </c>
      <c r="W391" s="129" t="s">
        <v>5088</v>
      </c>
      <c r="X391" t="s">
        <v>5089</v>
      </c>
      <c r="Y391" t="s">
        <v>644</v>
      </c>
      <c r="Z391" t="s">
        <v>645</v>
      </c>
    </row>
    <row r="392" spans="1:26" x14ac:dyDescent="0.3">
      <c r="A392" s="126" t="s">
        <v>5090</v>
      </c>
      <c r="B392" s="126" t="s">
        <v>5077</v>
      </c>
      <c r="C392" s="54" t="s">
        <v>702</v>
      </c>
      <c r="D392" s="127" t="s">
        <v>1584</v>
      </c>
      <c r="E392" s="126">
        <v>83899</v>
      </c>
      <c r="F392" s="126">
        <v>36</v>
      </c>
      <c r="G392" s="126">
        <v>3086</v>
      </c>
      <c r="H392" s="126" t="s">
        <v>630</v>
      </c>
      <c r="I392" s="126" t="s">
        <v>5091</v>
      </c>
      <c r="J392" s="126" t="s">
        <v>5092</v>
      </c>
      <c r="K392" s="126" t="s">
        <v>5093</v>
      </c>
      <c r="L392" s="126" t="s">
        <v>5094</v>
      </c>
      <c r="M392" s="128" t="s">
        <v>5095</v>
      </c>
      <c r="N392" s="126" t="s">
        <v>5083</v>
      </c>
      <c r="O392" s="128" t="s">
        <v>5096</v>
      </c>
      <c r="P392" s="126" t="s">
        <v>5097</v>
      </c>
      <c r="Q392" s="126" t="s">
        <v>5098</v>
      </c>
      <c r="R392" s="126" t="s">
        <v>5099</v>
      </c>
      <c r="S392" s="126">
        <v>3000</v>
      </c>
      <c r="T392" s="126">
        <v>118483</v>
      </c>
      <c r="U392" s="126">
        <v>121483</v>
      </c>
      <c r="V392" s="126" t="s">
        <v>2602</v>
      </c>
      <c r="W392" s="129" t="s">
        <v>5100</v>
      </c>
      <c r="X392" t="s">
        <v>5101</v>
      </c>
      <c r="Y392" t="s">
        <v>644</v>
      </c>
      <c r="Z392" t="s">
        <v>645</v>
      </c>
    </row>
    <row r="393" spans="1:26" x14ac:dyDescent="0.3">
      <c r="A393" s="126" t="s">
        <v>5102</v>
      </c>
      <c r="B393" s="126" t="s">
        <v>5077</v>
      </c>
      <c r="C393" s="54" t="s">
        <v>702</v>
      </c>
      <c r="D393" s="127" t="s">
        <v>5103</v>
      </c>
      <c r="E393" s="126">
        <v>44400</v>
      </c>
      <c r="F393" s="126">
        <v>39</v>
      </c>
      <c r="G393" s="126">
        <v>2010</v>
      </c>
      <c r="H393" s="126" t="s">
        <v>630</v>
      </c>
      <c r="I393" s="126" t="s">
        <v>5104</v>
      </c>
      <c r="J393" s="126" t="s">
        <v>5105</v>
      </c>
      <c r="K393" s="126" t="s">
        <v>5106</v>
      </c>
      <c r="L393" s="126" t="s">
        <v>5107</v>
      </c>
      <c r="M393" s="128" t="s">
        <v>5108</v>
      </c>
      <c r="N393" s="126" t="s">
        <v>5083</v>
      </c>
      <c r="O393" s="128" t="s">
        <v>5109</v>
      </c>
      <c r="P393" s="126" t="s">
        <v>5110</v>
      </c>
      <c r="Q393" s="126" t="s">
        <v>5111</v>
      </c>
      <c r="R393" s="126" t="s">
        <v>5112</v>
      </c>
      <c r="S393" s="126">
        <v>3000</v>
      </c>
      <c r="T393" s="126">
        <v>62784</v>
      </c>
      <c r="U393" s="126">
        <v>65784</v>
      </c>
      <c r="V393" s="126" t="s">
        <v>1005</v>
      </c>
      <c r="W393" s="129" t="s">
        <v>5113</v>
      </c>
      <c r="X393" t="s">
        <v>5114</v>
      </c>
      <c r="Y393" t="s">
        <v>644</v>
      </c>
      <c r="Z393" t="s">
        <v>645</v>
      </c>
    </row>
    <row r="394" spans="1:26" x14ac:dyDescent="0.3">
      <c r="A394" s="126" t="s">
        <v>5115</v>
      </c>
      <c r="B394" s="126" t="s">
        <v>5077</v>
      </c>
      <c r="C394" s="54" t="s">
        <v>628</v>
      </c>
      <c r="D394" s="127" t="s">
        <v>5116</v>
      </c>
      <c r="E394" s="126">
        <v>44900</v>
      </c>
      <c r="F394" s="126">
        <v>41</v>
      </c>
      <c r="G394" s="126">
        <v>1779</v>
      </c>
      <c r="H394" s="126" t="s">
        <v>630</v>
      </c>
      <c r="I394" s="126" t="s">
        <v>5117</v>
      </c>
      <c r="J394" s="126" t="s">
        <v>5118</v>
      </c>
      <c r="K394" s="126" t="s">
        <v>5119</v>
      </c>
      <c r="L394" s="126" t="s">
        <v>5120</v>
      </c>
      <c r="M394" s="128" t="s">
        <v>5121</v>
      </c>
      <c r="N394" s="126" t="s">
        <v>5083</v>
      </c>
      <c r="O394" s="128" t="s">
        <v>5122</v>
      </c>
      <c r="P394" s="126" t="s">
        <v>5123</v>
      </c>
      <c r="Q394" s="126" t="s">
        <v>5124</v>
      </c>
      <c r="R394" s="126" t="s">
        <v>5125</v>
      </c>
      <c r="S394" s="126">
        <v>3000</v>
      </c>
      <c r="T394" s="126">
        <v>79196</v>
      </c>
      <c r="U394" s="126">
        <v>82196</v>
      </c>
      <c r="V394" s="126" t="s">
        <v>1005</v>
      </c>
      <c r="W394" s="129" t="s">
        <v>5126</v>
      </c>
      <c r="X394" t="s">
        <v>5127</v>
      </c>
      <c r="Y394" t="s">
        <v>644</v>
      </c>
      <c r="Z394" t="s">
        <v>645</v>
      </c>
    </row>
    <row r="395" spans="1:26" x14ac:dyDescent="0.3">
      <c r="A395" s="126" t="s">
        <v>5128</v>
      </c>
      <c r="B395" s="126" t="s">
        <v>5077</v>
      </c>
      <c r="C395" s="54" t="s">
        <v>628</v>
      </c>
      <c r="D395" s="127" t="s">
        <v>3123</v>
      </c>
      <c r="E395" s="126">
        <v>93900</v>
      </c>
      <c r="F395" s="126">
        <v>36</v>
      </c>
      <c r="G395" s="126">
        <v>3618</v>
      </c>
      <c r="H395" s="126" t="s">
        <v>630</v>
      </c>
      <c r="I395" s="126" t="s">
        <v>5129</v>
      </c>
      <c r="J395" s="126" t="s">
        <v>5130</v>
      </c>
      <c r="K395" s="126" t="s">
        <v>5131</v>
      </c>
      <c r="L395" s="126" t="s">
        <v>5132</v>
      </c>
      <c r="M395" s="128" t="s">
        <v>5133</v>
      </c>
      <c r="N395" s="126" t="s">
        <v>5083</v>
      </c>
      <c r="O395" s="128" t="s">
        <v>5134</v>
      </c>
      <c r="P395" s="126" t="s">
        <v>5135</v>
      </c>
      <c r="Q395" s="126" t="s">
        <v>5136</v>
      </c>
      <c r="R395" s="126" t="s">
        <v>5137</v>
      </c>
      <c r="S395" s="126">
        <v>3000</v>
      </c>
      <c r="T395" s="126">
        <v>126801</v>
      </c>
      <c r="U395" s="126">
        <v>129801</v>
      </c>
      <c r="V395" s="126" t="s">
        <v>742</v>
      </c>
      <c r="W395" s="129" t="s">
        <v>5138</v>
      </c>
      <c r="X395" t="s">
        <v>5139</v>
      </c>
      <c r="Y395" t="s">
        <v>644</v>
      </c>
      <c r="Z395" t="s">
        <v>645</v>
      </c>
    </row>
    <row r="396" spans="1:26" x14ac:dyDescent="0.3">
      <c r="A396" s="126" t="s">
        <v>5140</v>
      </c>
      <c r="B396" s="126" t="s">
        <v>5077</v>
      </c>
      <c r="C396" s="54" t="s">
        <v>2565</v>
      </c>
      <c r="D396" s="127" t="s">
        <v>5141</v>
      </c>
      <c r="E396" s="126">
        <v>74347</v>
      </c>
      <c r="F396" s="126">
        <v>36</v>
      </c>
      <c r="G396" s="126">
        <v>2939</v>
      </c>
      <c r="H396" s="126" t="s">
        <v>630</v>
      </c>
      <c r="I396" s="126" t="s">
        <v>5142</v>
      </c>
      <c r="J396" s="126" t="s">
        <v>5143</v>
      </c>
      <c r="K396" s="126" t="s">
        <v>5144</v>
      </c>
      <c r="L396" s="126" t="s">
        <v>5145</v>
      </c>
      <c r="M396" s="128" t="s">
        <v>5146</v>
      </c>
      <c r="N396" s="126" t="s">
        <v>5083</v>
      </c>
      <c r="O396" s="128" t="s">
        <v>5147</v>
      </c>
      <c r="P396" s="126" t="s">
        <v>5148</v>
      </c>
      <c r="Q396" s="126" t="s">
        <v>5149</v>
      </c>
      <c r="R396" s="126" t="s">
        <v>5150</v>
      </c>
      <c r="S396" s="126">
        <v>3000</v>
      </c>
      <c r="T396" s="126">
        <v>70778</v>
      </c>
      <c r="U396" s="126">
        <v>73778</v>
      </c>
      <c r="V396" s="126" t="s">
        <v>2392</v>
      </c>
      <c r="W396" s="129" t="s">
        <v>5151</v>
      </c>
      <c r="X396" t="s">
        <v>5152</v>
      </c>
      <c r="Y396" t="s">
        <v>644</v>
      </c>
      <c r="Z396" t="s">
        <v>645</v>
      </c>
    </row>
    <row r="397" spans="1:26" x14ac:dyDescent="0.3">
      <c r="A397" s="126" t="s">
        <v>5153</v>
      </c>
      <c r="B397" s="126" t="s">
        <v>5077</v>
      </c>
      <c r="C397" s="54" t="s">
        <v>702</v>
      </c>
      <c r="D397" s="127" t="s">
        <v>3850</v>
      </c>
      <c r="E397" s="126">
        <v>56248</v>
      </c>
      <c r="F397" s="126">
        <v>34</v>
      </c>
      <c r="G397" s="126">
        <v>2494</v>
      </c>
      <c r="H397" s="126" t="s">
        <v>630</v>
      </c>
      <c r="I397" s="126" t="s">
        <v>5154</v>
      </c>
      <c r="J397" s="126" t="s">
        <v>5155</v>
      </c>
      <c r="K397" s="126" t="s">
        <v>5156</v>
      </c>
      <c r="L397" s="126" t="s">
        <v>5157</v>
      </c>
      <c r="M397" s="128" t="s">
        <v>5158</v>
      </c>
      <c r="N397" s="126" t="s">
        <v>5083</v>
      </c>
      <c r="O397" s="128" t="s">
        <v>5159</v>
      </c>
      <c r="P397" s="126" t="s">
        <v>5160</v>
      </c>
      <c r="Q397" s="126" t="s">
        <v>5161</v>
      </c>
      <c r="R397" s="126" t="s">
        <v>5162</v>
      </c>
      <c r="S397" s="126">
        <v>3000</v>
      </c>
      <c r="T397" s="126">
        <v>64441</v>
      </c>
      <c r="U397" s="126">
        <v>67441</v>
      </c>
      <c r="V397" s="126" t="s">
        <v>1019</v>
      </c>
      <c r="W397" s="129" t="s">
        <v>5163</v>
      </c>
      <c r="X397" t="s">
        <v>5164</v>
      </c>
      <c r="Y397" t="s">
        <v>644</v>
      </c>
      <c r="Z397" t="s">
        <v>645</v>
      </c>
    </row>
    <row r="398" spans="1:26" x14ac:dyDescent="0.3">
      <c r="A398" s="126" t="s">
        <v>5165</v>
      </c>
      <c r="B398" s="126" t="s">
        <v>5077</v>
      </c>
      <c r="C398" s="54" t="s">
        <v>628</v>
      </c>
      <c r="D398" s="127" t="s">
        <v>5166</v>
      </c>
      <c r="E398" s="126">
        <v>44900</v>
      </c>
      <c r="F398" s="126">
        <v>28</v>
      </c>
      <c r="G398" s="126">
        <v>2357</v>
      </c>
      <c r="H398" s="126" t="s">
        <v>630</v>
      </c>
      <c r="I398" s="126" t="s">
        <v>5167</v>
      </c>
      <c r="J398" s="126" t="s">
        <v>5168</v>
      </c>
      <c r="K398" s="126" t="s">
        <v>5169</v>
      </c>
      <c r="L398" s="126" t="s">
        <v>5094</v>
      </c>
      <c r="M398" s="128" t="s">
        <v>5170</v>
      </c>
      <c r="N398" s="126" t="s">
        <v>5083</v>
      </c>
      <c r="O398" s="128" t="s">
        <v>5171</v>
      </c>
      <c r="P398" s="126" t="s">
        <v>5172</v>
      </c>
      <c r="Q398" s="126" t="s">
        <v>5173</v>
      </c>
      <c r="R398" s="126" t="s">
        <v>5174</v>
      </c>
      <c r="S398" s="126">
        <v>3000</v>
      </c>
      <c r="T398" s="126">
        <v>16824</v>
      </c>
      <c r="U398" s="126">
        <v>19824</v>
      </c>
      <c r="V398" s="126" t="s">
        <v>1005</v>
      </c>
      <c r="W398" s="129" t="s">
        <v>5175</v>
      </c>
      <c r="X398" t="s">
        <v>5176</v>
      </c>
      <c r="Y398" t="s">
        <v>644</v>
      </c>
      <c r="Z398" t="s">
        <v>645</v>
      </c>
    </row>
    <row r="399" spans="1:26" x14ac:dyDescent="0.3">
      <c r="A399" s="126" t="s">
        <v>5177</v>
      </c>
      <c r="B399" s="126" t="s">
        <v>5077</v>
      </c>
      <c r="C399" s="54" t="s">
        <v>702</v>
      </c>
      <c r="D399" s="127" t="s">
        <v>5178</v>
      </c>
      <c r="E399" s="126">
        <v>81500</v>
      </c>
      <c r="F399" s="126">
        <v>40</v>
      </c>
      <c r="G399" s="126">
        <v>3242</v>
      </c>
      <c r="H399" s="126" t="s">
        <v>630</v>
      </c>
      <c r="I399" s="126" t="s">
        <v>5179</v>
      </c>
      <c r="J399" s="126" t="s">
        <v>5180</v>
      </c>
      <c r="K399" s="126" t="s">
        <v>5181</v>
      </c>
      <c r="L399" s="126" t="s">
        <v>5145</v>
      </c>
      <c r="M399" s="128" t="s">
        <v>5182</v>
      </c>
      <c r="N399" s="126" t="s">
        <v>5083</v>
      </c>
      <c r="O399" s="128" t="s">
        <v>5183</v>
      </c>
      <c r="P399" s="126" t="s">
        <v>5184</v>
      </c>
      <c r="Q399" s="126" t="s">
        <v>5185</v>
      </c>
      <c r="R399" s="126" t="s">
        <v>5186</v>
      </c>
      <c r="S399" s="126">
        <v>3000</v>
      </c>
      <c r="T399" s="126">
        <v>108943</v>
      </c>
      <c r="U399" s="126">
        <v>111943</v>
      </c>
      <c r="V399" s="126" t="s">
        <v>923</v>
      </c>
      <c r="W399" s="129" t="s">
        <v>5187</v>
      </c>
      <c r="X399" t="s">
        <v>5188</v>
      </c>
      <c r="Y399" t="s">
        <v>644</v>
      </c>
      <c r="Z399" t="s">
        <v>645</v>
      </c>
    </row>
    <row r="400" spans="1:26" x14ac:dyDescent="0.3">
      <c r="A400" s="126" t="s">
        <v>5189</v>
      </c>
      <c r="B400" s="126" t="s">
        <v>5077</v>
      </c>
      <c r="C400" s="1" t="s">
        <v>682</v>
      </c>
      <c r="D400" s="127" t="s">
        <v>5190</v>
      </c>
      <c r="E400" s="126">
        <v>59840</v>
      </c>
      <c r="F400" s="126">
        <v>24</v>
      </c>
      <c r="G400" s="126">
        <v>3241</v>
      </c>
      <c r="H400" s="126" t="s">
        <v>630</v>
      </c>
      <c r="I400" s="126" t="s">
        <v>5191</v>
      </c>
      <c r="J400" s="126" t="s">
        <v>5192</v>
      </c>
      <c r="K400" s="126" t="s">
        <v>5193</v>
      </c>
      <c r="L400" s="126" t="s">
        <v>5094</v>
      </c>
      <c r="M400" s="128" t="s">
        <v>5194</v>
      </c>
      <c r="N400" s="126" t="s">
        <v>5083</v>
      </c>
      <c r="O400" s="128" t="s">
        <v>5195</v>
      </c>
      <c r="P400" s="126" t="s">
        <v>5196</v>
      </c>
      <c r="Q400" s="126" t="s">
        <v>5197</v>
      </c>
      <c r="R400" s="126" t="s">
        <v>5198</v>
      </c>
      <c r="S400" s="126">
        <v>3000</v>
      </c>
      <c r="T400" s="126">
        <v>69350</v>
      </c>
      <c r="U400" s="126">
        <v>72350</v>
      </c>
      <c r="V400" s="126" t="s">
        <v>5199</v>
      </c>
      <c r="W400" s="129" t="s">
        <v>5200</v>
      </c>
      <c r="X400" t="s">
        <v>5201</v>
      </c>
      <c r="Y400" t="s">
        <v>644</v>
      </c>
      <c r="Z400" t="s">
        <v>645</v>
      </c>
    </row>
    <row r="401" spans="1:26" x14ac:dyDescent="0.3">
      <c r="A401" s="126" t="s">
        <v>5202</v>
      </c>
      <c r="B401" s="126" t="s">
        <v>5077</v>
      </c>
      <c r="C401" s="54" t="s">
        <v>661</v>
      </c>
      <c r="D401" s="127" t="s">
        <v>1243</v>
      </c>
      <c r="E401" s="126">
        <v>86900</v>
      </c>
      <c r="F401" s="126">
        <v>41</v>
      </c>
      <c r="G401" s="126">
        <v>3091</v>
      </c>
      <c r="H401" s="126" t="s">
        <v>630</v>
      </c>
      <c r="I401" s="126" t="s">
        <v>5203</v>
      </c>
      <c r="J401" s="126" t="s">
        <v>5204</v>
      </c>
      <c r="K401" s="126" t="s">
        <v>5205</v>
      </c>
      <c r="L401" s="126" t="s">
        <v>5206</v>
      </c>
      <c r="M401" s="128" t="s">
        <v>5207</v>
      </c>
      <c r="N401" s="126" t="s">
        <v>5083</v>
      </c>
      <c r="O401" s="128" t="s">
        <v>5208</v>
      </c>
      <c r="P401" s="126" t="s">
        <v>5209</v>
      </c>
      <c r="Q401" s="126" t="s">
        <v>5210</v>
      </c>
      <c r="R401" s="126" t="s">
        <v>5211</v>
      </c>
      <c r="S401" s="126">
        <v>3000</v>
      </c>
      <c r="T401" s="126">
        <v>126868</v>
      </c>
      <c r="U401" s="126">
        <v>129868</v>
      </c>
      <c r="V401" s="126" t="s">
        <v>1303</v>
      </c>
      <c r="W401" s="129" t="s">
        <v>5212</v>
      </c>
      <c r="X401" t="s">
        <v>5213</v>
      </c>
      <c r="Y401" t="s">
        <v>644</v>
      </c>
      <c r="Z401" t="s">
        <v>645</v>
      </c>
    </row>
    <row r="402" spans="1:26" x14ac:dyDescent="0.3">
      <c r="A402" s="126" t="s">
        <v>5214</v>
      </c>
      <c r="B402" s="126" t="s">
        <v>5077</v>
      </c>
      <c r="C402" s="1" t="s">
        <v>682</v>
      </c>
      <c r="D402" s="127" t="s">
        <v>4013</v>
      </c>
      <c r="E402" s="126">
        <v>52988</v>
      </c>
      <c r="F402" s="126">
        <v>30</v>
      </c>
      <c r="G402" s="126">
        <v>2429</v>
      </c>
      <c r="H402" s="126" t="s">
        <v>630</v>
      </c>
      <c r="I402" s="126" t="s">
        <v>5215</v>
      </c>
      <c r="J402" s="126" t="s">
        <v>5216</v>
      </c>
      <c r="K402" s="126" t="s">
        <v>5217</v>
      </c>
      <c r="L402" s="126" t="s">
        <v>5218</v>
      </c>
      <c r="M402" s="128" t="s">
        <v>5219</v>
      </c>
      <c r="N402" s="126" t="s">
        <v>5083</v>
      </c>
      <c r="O402" s="128" t="s">
        <v>5220</v>
      </c>
      <c r="P402" s="126" t="s">
        <v>5221</v>
      </c>
      <c r="Q402" s="126" t="s">
        <v>5222</v>
      </c>
      <c r="R402" s="126" t="s">
        <v>5223</v>
      </c>
      <c r="S402" s="126">
        <v>3000</v>
      </c>
      <c r="T402" s="126">
        <v>66868</v>
      </c>
      <c r="U402" s="126">
        <v>69868</v>
      </c>
      <c r="V402" s="126" t="s">
        <v>5199</v>
      </c>
      <c r="W402" s="129" t="s">
        <v>5224</v>
      </c>
      <c r="X402" t="s">
        <v>5225</v>
      </c>
      <c r="Y402" t="s">
        <v>644</v>
      </c>
      <c r="Z402" t="s">
        <v>645</v>
      </c>
    </row>
    <row r="403" spans="1:26" x14ac:dyDescent="0.3">
      <c r="A403" s="126" t="s">
        <v>5226</v>
      </c>
      <c r="B403" s="126" t="s">
        <v>5077</v>
      </c>
      <c r="C403" s="54" t="s">
        <v>702</v>
      </c>
      <c r="D403" s="127" t="s">
        <v>5227</v>
      </c>
      <c r="E403" s="126">
        <v>94068</v>
      </c>
      <c r="F403" s="126">
        <v>40</v>
      </c>
      <c r="G403" s="126">
        <v>3727</v>
      </c>
      <c r="H403" s="126" t="s">
        <v>630</v>
      </c>
      <c r="I403" s="126" t="s">
        <v>5228</v>
      </c>
      <c r="J403" s="126" t="s">
        <v>5229</v>
      </c>
      <c r="K403" s="126" t="s">
        <v>5230</v>
      </c>
      <c r="L403" s="126" t="s">
        <v>5231</v>
      </c>
      <c r="M403" s="128" t="s">
        <v>5232</v>
      </c>
      <c r="N403" s="126" t="s">
        <v>5083</v>
      </c>
      <c r="O403" s="128" t="s">
        <v>5233</v>
      </c>
      <c r="P403" s="126" t="s">
        <v>5234</v>
      </c>
      <c r="Q403" s="126" t="s">
        <v>5235</v>
      </c>
      <c r="R403" s="126" t="s">
        <v>5236</v>
      </c>
      <c r="S403" s="126">
        <v>3000</v>
      </c>
      <c r="T403" s="126">
        <v>145113</v>
      </c>
      <c r="U403" s="126">
        <v>148113</v>
      </c>
      <c r="V403" s="126" t="s">
        <v>1303</v>
      </c>
      <c r="W403" s="129" t="s">
        <v>5237</v>
      </c>
      <c r="X403" t="s">
        <v>5238</v>
      </c>
      <c r="Y403" t="s">
        <v>644</v>
      </c>
      <c r="Z403" t="s">
        <v>645</v>
      </c>
    </row>
    <row r="404" spans="1:26" x14ac:dyDescent="0.3">
      <c r="A404" s="126" t="s">
        <v>5239</v>
      </c>
      <c r="B404" s="126" t="s">
        <v>5077</v>
      </c>
      <c r="C404" s="54" t="s">
        <v>628</v>
      </c>
      <c r="D404" s="127" t="s">
        <v>4427</v>
      </c>
      <c r="E404" s="126">
        <v>36536</v>
      </c>
      <c r="F404" s="126">
        <v>31</v>
      </c>
      <c r="G404" s="126">
        <v>1995</v>
      </c>
      <c r="H404" s="126" t="s">
        <v>630</v>
      </c>
      <c r="I404" s="126" t="s">
        <v>5240</v>
      </c>
      <c r="J404" s="126" t="s">
        <v>5241</v>
      </c>
      <c r="K404" s="126" t="s">
        <v>5242</v>
      </c>
      <c r="L404" s="126" t="s">
        <v>5243</v>
      </c>
      <c r="M404" s="128" t="s">
        <v>5244</v>
      </c>
      <c r="N404" s="126" t="s">
        <v>5083</v>
      </c>
      <c r="O404" s="128" t="s">
        <v>5245</v>
      </c>
      <c r="P404" s="126" t="s">
        <v>5246</v>
      </c>
      <c r="Q404" s="126" t="s">
        <v>5247</v>
      </c>
      <c r="R404" s="126" t="s">
        <v>5248</v>
      </c>
      <c r="S404" s="126">
        <v>3000</v>
      </c>
      <c r="T404" s="126">
        <v>20432</v>
      </c>
      <c r="U404" s="126">
        <v>23432</v>
      </c>
      <c r="V404" s="126" t="s">
        <v>685</v>
      </c>
      <c r="W404" s="129" t="s">
        <v>5249</v>
      </c>
      <c r="X404" t="s">
        <v>5250</v>
      </c>
      <c r="Y404" t="s">
        <v>644</v>
      </c>
      <c r="Z404" t="s">
        <v>645</v>
      </c>
    </row>
    <row r="405" spans="1:26" x14ac:dyDescent="0.3">
      <c r="A405" s="126" t="s">
        <v>5251</v>
      </c>
      <c r="B405" s="126" t="s">
        <v>5077</v>
      </c>
      <c r="C405" s="1" t="s">
        <v>682</v>
      </c>
      <c r="D405" s="127" t="s">
        <v>5252</v>
      </c>
      <c r="E405" s="126">
        <v>65400</v>
      </c>
      <c r="F405" s="126">
        <v>30</v>
      </c>
      <c r="G405" s="126">
        <v>2870</v>
      </c>
      <c r="H405" s="126" t="s">
        <v>630</v>
      </c>
      <c r="I405" s="126" t="s">
        <v>5253</v>
      </c>
      <c r="J405" s="126" t="s">
        <v>5254</v>
      </c>
      <c r="K405" s="126" t="s">
        <v>5255</v>
      </c>
      <c r="L405" s="126" t="s">
        <v>5256</v>
      </c>
      <c r="M405" s="128" t="s">
        <v>5257</v>
      </c>
      <c r="N405" s="126" t="s">
        <v>5083</v>
      </c>
      <c r="O405" s="128" t="s">
        <v>5258</v>
      </c>
      <c r="P405" s="126" t="s">
        <v>5259</v>
      </c>
      <c r="Q405" s="126" t="s">
        <v>5260</v>
      </c>
      <c r="R405" s="126" t="s">
        <v>5261</v>
      </c>
      <c r="S405" s="126">
        <v>3000</v>
      </c>
      <c r="T405" s="126">
        <v>69853</v>
      </c>
      <c r="U405" s="126">
        <v>72853</v>
      </c>
      <c r="V405" s="126" t="s">
        <v>2392</v>
      </c>
      <c r="W405" s="129" t="s">
        <v>5262</v>
      </c>
      <c r="X405" t="s">
        <v>5263</v>
      </c>
      <c r="Y405" t="s">
        <v>644</v>
      </c>
      <c r="Z405" t="s">
        <v>645</v>
      </c>
    </row>
    <row r="406" spans="1:26" x14ac:dyDescent="0.3">
      <c r="A406" s="126" t="s">
        <v>5264</v>
      </c>
      <c r="B406" s="126" t="s">
        <v>5077</v>
      </c>
      <c r="C406" s="54" t="s">
        <v>702</v>
      </c>
      <c r="D406" s="127" t="s">
        <v>5265</v>
      </c>
      <c r="E406" s="126">
        <v>44445</v>
      </c>
      <c r="F406" s="126">
        <v>37</v>
      </c>
      <c r="G406" s="126">
        <v>2330</v>
      </c>
      <c r="H406" s="126" t="s">
        <v>630</v>
      </c>
      <c r="I406" s="126" t="s">
        <v>5266</v>
      </c>
      <c r="J406" s="126" t="s">
        <v>5267</v>
      </c>
      <c r="K406" s="126" t="s">
        <v>5268</v>
      </c>
      <c r="L406" s="126" t="s">
        <v>5269</v>
      </c>
      <c r="M406" s="128" t="s">
        <v>5270</v>
      </c>
      <c r="N406" s="126" t="s">
        <v>5083</v>
      </c>
      <c r="O406" s="128" t="s">
        <v>5271</v>
      </c>
      <c r="P406" s="126" t="s">
        <v>5272</v>
      </c>
      <c r="Q406" s="126" t="s">
        <v>5273</v>
      </c>
      <c r="R406" s="126" t="s">
        <v>5274</v>
      </c>
      <c r="S406" s="126">
        <v>3000</v>
      </c>
      <c r="T406" s="126">
        <v>55614</v>
      </c>
      <c r="U406" s="126">
        <v>58614</v>
      </c>
      <c r="V406" s="126" t="s">
        <v>1005</v>
      </c>
      <c r="W406" s="129" t="s">
        <v>5275</v>
      </c>
      <c r="X406" t="s">
        <v>5276</v>
      </c>
      <c r="Y406" t="s">
        <v>644</v>
      </c>
      <c r="Z406" t="s">
        <v>645</v>
      </c>
    </row>
    <row r="407" spans="1:26" x14ac:dyDescent="0.3">
      <c r="A407" s="126" t="s">
        <v>5277</v>
      </c>
      <c r="B407" s="126" t="s">
        <v>5077</v>
      </c>
      <c r="C407" s="54" t="s">
        <v>702</v>
      </c>
      <c r="D407" s="127" t="s">
        <v>784</v>
      </c>
      <c r="E407" s="126">
        <v>45540</v>
      </c>
      <c r="F407" s="126">
        <v>28</v>
      </c>
      <c r="G407" s="126">
        <v>2395</v>
      </c>
      <c r="H407" s="126" t="s">
        <v>630</v>
      </c>
      <c r="I407" s="126" t="s">
        <v>5278</v>
      </c>
      <c r="J407" s="126" t="s">
        <v>5279</v>
      </c>
      <c r="K407" s="126" t="s">
        <v>5280</v>
      </c>
      <c r="L407" s="126" t="s">
        <v>5281</v>
      </c>
      <c r="M407" s="128" t="s">
        <v>5282</v>
      </c>
      <c r="N407" s="126" t="s">
        <v>5083</v>
      </c>
      <c r="O407" s="128" t="s">
        <v>5283</v>
      </c>
      <c r="P407" s="126" t="s">
        <v>5284</v>
      </c>
      <c r="Q407" s="126" t="s">
        <v>5285</v>
      </c>
      <c r="R407" s="126" t="s">
        <v>5286</v>
      </c>
      <c r="S407" s="126">
        <v>3000</v>
      </c>
      <c r="T407" s="126">
        <v>24295</v>
      </c>
      <c r="U407" s="126">
        <v>27295</v>
      </c>
      <c r="V407" s="126" t="s">
        <v>1005</v>
      </c>
      <c r="W407" s="129" t="s">
        <v>5287</v>
      </c>
      <c r="X407" t="s">
        <v>5288</v>
      </c>
      <c r="Y407" t="s">
        <v>644</v>
      </c>
      <c r="Z407" t="s">
        <v>645</v>
      </c>
    </row>
    <row r="408" spans="1:26" x14ac:dyDescent="0.3">
      <c r="A408" s="126" t="s">
        <v>5289</v>
      </c>
      <c r="B408" s="126" t="s">
        <v>5077</v>
      </c>
      <c r="C408" s="54" t="s">
        <v>661</v>
      </c>
      <c r="D408" s="127" t="s">
        <v>5290</v>
      </c>
      <c r="E408" s="126">
        <v>35500</v>
      </c>
      <c r="F408" s="126">
        <v>48</v>
      </c>
      <c r="G408" s="126">
        <v>1513</v>
      </c>
      <c r="H408" s="126" t="s">
        <v>630</v>
      </c>
      <c r="I408" s="126" t="s">
        <v>5291</v>
      </c>
      <c r="J408" s="126" t="s">
        <v>5292</v>
      </c>
      <c r="K408" s="126" t="s">
        <v>5293</v>
      </c>
      <c r="L408" s="126" t="s">
        <v>5107</v>
      </c>
      <c r="M408" s="128" t="s">
        <v>5294</v>
      </c>
      <c r="N408" s="126" t="s">
        <v>5083</v>
      </c>
      <c r="O408" s="128" t="s">
        <v>5295</v>
      </c>
      <c r="P408" s="126" t="s">
        <v>5296</v>
      </c>
      <c r="Q408" s="126" t="s">
        <v>5297</v>
      </c>
      <c r="R408" s="126" t="s">
        <v>5298</v>
      </c>
      <c r="S408" s="126">
        <v>3000</v>
      </c>
      <c r="T408" s="126">
        <v>37869</v>
      </c>
      <c r="U408" s="126">
        <v>40869</v>
      </c>
      <c r="V408" s="126" t="s">
        <v>685</v>
      </c>
      <c r="W408" s="129" t="s">
        <v>5299</v>
      </c>
      <c r="X408" t="s">
        <v>5300</v>
      </c>
      <c r="Y408" t="s">
        <v>644</v>
      </c>
      <c r="Z408" t="s">
        <v>645</v>
      </c>
    </row>
    <row r="409" spans="1:26" x14ac:dyDescent="0.3">
      <c r="A409" s="126" t="s">
        <v>5301</v>
      </c>
      <c r="B409" s="126" t="s">
        <v>5077</v>
      </c>
      <c r="C409" s="54" t="s">
        <v>628</v>
      </c>
      <c r="D409" s="127" t="s">
        <v>2724</v>
      </c>
      <c r="E409" s="126">
        <v>87067</v>
      </c>
      <c r="F409" s="126">
        <v>41</v>
      </c>
      <c r="G409" s="126">
        <v>3217</v>
      </c>
      <c r="H409" s="126" t="s">
        <v>630</v>
      </c>
      <c r="I409" s="126" t="s">
        <v>5302</v>
      </c>
      <c r="J409" s="126" t="s">
        <v>5303</v>
      </c>
      <c r="K409" s="126" t="s">
        <v>5304</v>
      </c>
      <c r="L409" s="126" t="s">
        <v>5120</v>
      </c>
      <c r="M409" s="128" t="s">
        <v>5305</v>
      </c>
      <c r="N409" s="126" t="s">
        <v>5083</v>
      </c>
      <c r="O409" s="128" t="s">
        <v>5306</v>
      </c>
      <c r="P409" s="126" t="s">
        <v>5307</v>
      </c>
      <c r="Q409" s="126" t="s">
        <v>5308</v>
      </c>
      <c r="R409" s="126" t="s">
        <v>5309</v>
      </c>
      <c r="S409" s="126">
        <v>3000</v>
      </c>
      <c r="T409" s="126">
        <v>123178</v>
      </c>
      <c r="U409" s="126">
        <v>126178</v>
      </c>
      <c r="V409" s="126" t="s">
        <v>1303</v>
      </c>
      <c r="W409" s="129" t="s">
        <v>5310</v>
      </c>
      <c r="X409" t="s">
        <v>5311</v>
      </c>
      <c r="Y409" t="s">
        <v>644</v>
      </c>
      <c r="Z409" t="s">
        <v>645</v>
      </c>
    </row>
    <row r="410" spans="1:26" x14ac:dyDescent="0.3">
      <c r="A410" s="126" t="s">
        <v>5312</v>
      </c>
      <c r="B410" s="126" t="s">
        <v>5077</v>
      </c>
      <c r="C410" s="54" t="s">
        <v>2483</v>
      </c>
      <c r="D410" s="127" t="s">
        <v>1082</v>
      </c>
      <c r="E410" s="126">
        <v>47900</v>
      </c>
      <c r="F410" s="126">
        <v>24</v>
      </c>
      <c r="G410" s="126">
        <v>2659</v>
      </c>
      <c r="H410" s="126" t="s">
        <v>630</v>
      </c>
      <c r="I410" s="126" t="s">
        <v>5313</v>
      </c>
      <c r="J410" s="126" t="s">
        <v>5314</v>
      </c>
      <c r="K410" s="126" t="s">
        <v>5315</v>
      </c>
      <c r="L410" s="126" t="s">
        <v>5218</v>
      </c>
      <c r="M410" s="128" t="s">
        <v>5316</v>
      </c>
      <c r="N410" s="126" t="s">
        <v>5083</v>
      </c>
      <c r="O410" s="128" t="s">
        <v>5317</v>
      </c>
      <c r="P410" s="126" t="s">
        <v>5318</v>
      </c>
      <c r="Q410" s="126" t="s">
        <v>5319</v>
      </c>
      <c r="R410" s="126" t="s">
        <v>5320</v>
      </c>
      <c r="S410" s="126">
        <v>3000</v>
      </c>
      <c r="T410" s="126">
        <v>41161</v>
      </c>
      <c r="U410" s="126">
        <v>44161</v>
      </c>
      <c r="V410" s="126" t="s">
        <v>992</v>
      </c>
      <c r="W410" s="129" t="s">
        <v>5321</v>
      </c>
      <c r="X410" t="s">
        <v>5322</v>
      </c>
      <c r="Y410" t="s">
        <v>644</v>
      </c>
      <c r="Z410" t="s">
        <v>645</v>
      </c>
    </row>
    <row r="411" spans="1:26" x14ac:dyDescent="0.3">
      <c r="A411" s="126" t="s">
        <v>5323</v>
      </c>
      <c r="B411" s="126" t="s">
        <v>5077</v>
      </c>
      <c r="C411" s="54" t="s">
        <v>628</v>
      </c>
      <c r="D411" s="127" t="s">
        <v>5324</v>
      </c>
      <c r="E411" s="126">
        <v>48099</v>
      </c>
      <c r="F411" s="126">
        <v>34</v>
      </c>
      <c r="G411" s="126">
        <v>2165</v>
      </c>
      <c r="H411" s="126" t="s">
        <v>630</v>
      </c>
      <c r="I411" s="126" t="s">
        <v>5325</v>
      </c>
      <c r="J411" s="126" t="s">
        <v>5326</v>
      </c>
      <c r="K411" s="126" t="s">
        <v>5327</v>
      </c>
      <c r="L411" s="126" t="s">
        <v>5094</v>
      </c>
      <c r="M411" s="128" t="s">
        <v>5328</v>
      </c>
      <c r="N411" s="126" t="s">
        <v>5083</v>
      </c>
      <c r="O411" s="128" t="s">
        <v>5329</v>
      </c>
      <c r="P411" s="126" t="s">
        <v>5330</v>
      </c>
      <c r="Q411" s="126" t="s">
        <v>5331</v>
      </c>
      <c r="R411" s="126" t="s">
        <v>5332</v>
      </c>
      <c r="S411" s="126">
        <v>3000</v>
      </c>
      <c r="T411" s="126">
        <v>86490</v>
      </c>
      <c r="U411" s="126">
        <v>89490</v>
      </c>
      <c r="V411" s="126" t="s">
        <v>1005</v>
      </c>
      <c r="W411" s="129" t="s">
        <v>5333</v>
      </c>
      <c r="X411" t="s">
        <v>5334</v>
      </c>
      <c r="Y411" t="s">
        <v>644</v>
      </c>
      <c r="Z411" t="s">
        <v>645</v>
      </c>
    </row>
    <row r="412" spans="1:26" x14ac:dyDescent="0.3">
      <c r="A412" s="126" t="s">
        <v>5335</v>
      </c>
      <c r="B412" s="126" t="s">
        <v>5077</v>
      </c>
      <c r="C412" s="54" t="s">
        <v>661</v>
      </c>
      <c r="D412" s="127" t="s">
        <v>5336</v>
      </c>
      <c r="E412" s="126">
        <v>59900</v>
      </c>
      <c r="F412" s="126">
        <v>24</v>
      </c>
      <c r="G412" s="126">
        <v>3160</v>
      </c>
      <c r="H412" s="126" t="s">
        <v>630</v>
      </c>
      <c r="I412" s="126" t="s">
        <v>5337</v>
      </c>
      <c r="J412" s="126" t="s">
        <v>5338</v>
      </c>
      <c r="K412" s="126" t="s">
        <v>5339</v>
      </c>
      <c r="L412" s="126" t="s">
        <v>5107</v>
      </c>
      <c r="M412" s="128" t="s">
        <v>5108</v>
      </c>
      <c r="N412" s="126" t="s">
        <v>5083</v>
      </c>
      <c r="O412" s="128" t="s">
        <v>5340</v>
      </c>
      <c r="P412" s="126" t="s">
        <v>5341</v>
      </c>
      <c r="Q412" s="126" t="s">
        <v>5342</v>
      </c>
      <c r="R412" s="126" t="s">
        <v>5343</v>
      </c>
      <c r="S412" s="126">
        <v>3000</v>
      </c>
      <c r="T412" s="126">
        <v>45801</v>
      </c>
      <c r="U412" s="126">
        <v>48801</v>
      </c>
      <c r="V412" s="126" t="s">
        <v>1141</v>
      </c>
      <c r="W412" s="129" t="s">
        <v>5344</v>
      </c>
      <c r="X412" t="s">
        <v>5345</v>
      </c>
      <c r="Y412" t="s">
        <v>644</v>
      </c>
      <c r="Z412" t="s">
        <v>645</v>
      </c>
    </row>
    <row r="413" spans="1:26" x14ac:dyDescent="0.3">
      <c r="A413" s="126" t="s">
        <v>5346</v>
      </c>
      <c r="B413" s="126" t="s">
        <v>5077</v>
      </c>
      <c r="C413" s="54" t="s">
        <v>2565</v>
      </c>
      <c r="D413" s="127" t="s">
        <v>5347</v>
      </c>
      <c r="E413" s="126">
        <v>157000</v>
      </c>
      <c r="F413" s="126">
        <v>48</v>
      </c>
      <c r="G413" s="126">
        <v>5210</v>
      </c>
      <c r="H413" s="126" t="s">
        <v>630</v>
      </c>
      <c r="I413" s="126" t="s">
        <v>5348</v>
      </c>
      <c r="J413" s="126" t="s">
        <v>5349</v>
      </c>
      <c r="K413" s="126" t="s">
        <v>5350</v>
      </c>
      <c r="L413" s="126" t="s">
        <v>5145</v>
      </c>
      <c r="M413" s="128" t="s">
        <v>5351</v>
      </c>
      <c r="N413" s="126" t="s">
        <v>5083</v>
      </c>
      <c r="O413" s="128" t="s">
        <v>5352</v>
      </c>
      <c r="P413" s="126" t="s">
        <v>5353</v>
      </c>
      <c r="Q413" s="126" t="s">
        <v>5354</v>
      </c>
      <c r="R413" s="126" t="s">
        <v>5355</v>
      </c>
      <c r="S413" s="126">
        <v>5000</v>
      </c>
      <c r="T413" s="126">
        <v>143144</v>
      </c>
      <c r="U413" s="126">
        <v>148144</v>
      </c>
      <c r="V413" s="126" t="s">
        <v>5356</v>
      </c>
      <c r="W413" s="129" t="s">
        <v>5357</v>
      </c>
      <c r="X413" t="s">
        <v>5358</v>
      </c>
      <c r="Y413" t="s">
        <v>644</v>
      </c>
      <c r="Z413" t="s">
        <v>645</v>
      </c>
    </row>
    <row r="414" spans="1:26" x14ac:dyDescent="0.3">
      <c r="A414" s="126" t="s">
        <v>5359</v>
      </c>
      <c r="B414" s="126" t="s">
        <v>5077</v>
      </c>
      <c r="C414" s="54" t="s">
        <v>702</v>
      </c>
      <c r="D414" s="127" t="s">
        <v>4284</v>
      </c>
      <c r="E414" s="126">
        <v>164250</v>
      </c>
      <c r="F414" s="126">
        <v>55</v>
      </c>
      <c r="G414" s="126">
        <v>4860</v>
      </c>
      <c r="H414" s="126" t="s">
        <v>630</v>
      </c>
      <c r="I414" s="126" t="s">
        <v>5360</v>
      </c>
      <c r="J414" s="126" t="s">
        <v>5361</v>
      </c>
      <c r="K414" s="126" t="s">
        <v>5362</v>
      </c>
      <c r="L414" s="126" t="s">
        <v>5363</v>
      </c>
      <c r="M414" s="128" t="s">
        <v>5364</v>
      </c>
      <c r="N414" s="126" t="s">
        <v>5083</v>
      </c>
      <c r="O414" s="128" t="s">
        <v>5365</v>
      </c>
      <c r="P414" s="126" t="s">
        <v>5366</v>
      </c>
      <c r="Q414" s="126" t="s">
        <v>5367</v>
      </c>
      <c r="R414" s="126" t="s">
        <v>5368</v>
      </c>
      <c r="S414" s="126">
        <v>15000</v>
      </c>
      <c r="T414" s="126">
        <v>169198</v>
      </c>
      <c r="U414" s="126">
        <v>184198</v>
      </c>
      <c r="V414" s="126" t="s">
        <v>5369</v>
      </c>
      <c r="W414" s="129" t="s">
        <v>5370</v>
      </c>
      <c r="X414" t="s">
        <v>5371</v>
      </c>
      <c r="Y414" t="s">
        <v>644</v>
      </c>
      <c r="Z414" t="s">
        <v>645</v>
      </c>
    </row>
    <row r="415" spans="1:26" x14ac:dyDescent="0.3">
      <c r="A415" s="1" t="s">
        <v>5372</v>
      </c>
      <c r="B415" s="126" t="s">
        <v>5077</v>
      </c>
      <c r="C415" s="54" t="s">
        <v>2565</v>
      </c>
      <c r="D415" s="127" t="s">
        <v>5373</v>
      </c>
      <c r="E415" s="1">
        <v>96549</v>
      </c>
      <c r="F415" s="1">
        <v>36</v>
      </c>
      <c r="G415" s="1">
        <v>3813</v>
      </c>
      <c r="H415" s="1" t="s">
        <v>630</v>
      </c>
      <c r="I415" s="1" t="s">
        <v>5374</v>
      </c>
      <c r="J415" s="1" t="s">
        <v>5375</v>
      </c>
      <c r="K415" s="126" t="s">
        <v>5376</v>
      </c>
      <c r="L415" s="1" t="s">
        <v>5206</v>
      </c>
      <c r="M415" s="131">
        <v>754211</v>
      </c>
      <c r="N415" s="126" t="s">
        <v>5083</v>
      </c>
      <c r="O415" s="131">
        <v>9078998826</v>
      </c>
      <c r="P415" s="1" t="s">
        <v>5377</v>
      </c>
      <c r="Q415" s="1" t="s">
        <v>5378</v>
      </c>
      <c r="R415" s="1" t="s">
        <v>5379</v>
      </c>
      <c r="S415" s="1">
        <v>3000</v>
      </c>
      <c r="T415" s="1">
        <v>83762</v>
      </c>
      <c r="U415" s="1">
        <v>86762</v>
      </c>
      <c r="V415" s="1" t="s">
        <v>2903</v>
      </c>
      <c r="W415" s="129" t="s">
        <v>5380</v>
      </c>
      <c r="X415" t="s">
        <v>5381</v>
      </c>
      <c r="Y415" t="s">
        <v>644</v>
      </c>
      <c r="Z415" t="s">
        <v>645</v>
      </c>
    </row>
    <row r="416" spans="1:26" x14ac:dyDescent="0.3">
      <c r="A416" s="1" t="s">
        <v>5382</v>
      </c>
      <c r="B416" s="126" t="s">
        <v>5077</v>
      </c>
      <c r="C416" s="54" t="s">
        <v>1335</v>
      </c>
      <c r="D416" s="127" t="s">
        <v>5383</v>
      </c>
      <c r="E416" s="1">
        <v>95076</v>
      </c>
      <c r="F416" s="1">
        <v>48</v>
      </c>
      <c r="G416" s="1">
        <v>3394</v>
      </c>
      <c r="H416" s="1" t="s">
        <v>630</v>
      </c>
      <c r="I416" s="1" t="s">
        <v>5384</v>
      </c>
      <c r="J416" s="1" t="s">
        <v>5385</v>
      </c>
      <c r="K416" s="126" t="s">
        <v>5386</v>
      </c>
      <c r="L416" s="1" t="s">
        <v>5145</v>
      </c>
      <c r="M416" s="131">
        <v>768005</v>
      </c>
      <c r="N416" s="126" t="s">
        <v>5083</v>
      </c>
      <c r="O416" s="131">
        <v>8658524432</v>
      </c>
      <c r="P416" s="1" t="s">
        <v>5387</v>
      </c>
      <c r="Q416" s="1" t="s">
        <v>5388</v>
      </c>
      <c r="R416" s="1" t="s">
        <v>5389</v>
      </c>
      <c r="S416" s="1">
        <v>3000</v>
      </c>
      <c r="T416" s="1">
        <v>164268</v>
      </c>
      <c r="U416" s="1">
        <v>167268</v>
      </c>
      <c r="V416" s="1" t="s">
        <v>2782</v>
      </c>
      <c r="W416" s="129" t="s">
        <v>5390</v>
      </c>
      <c r="X416" t="s">
        <v>5391</v>
      </c>
      <c r="Y416" t="s">
        <v>644</v>
      </c>
      <c r="Z416" t="s">
        <v>645</v>
      </c>
    </row>
    <row r="417" spans="1:26" x14ac:dyDescent="0.3">
      <c r="A417" s="1" t="s">
        <v>5392</v>
      </c>
      <c r="B417" s="126" t="s">
        <v>5077</v>
      </c>
      <c r="C417" s="54" t="s">
        <v>2483</v>
      </c>
      <c r="D417" s="127" t="s">
        <v>5393</v>
      </c>
      <c r="E417" s="1">
        <v>74900</v>
      </c>
      <c r="F417" s="1">
        <v>40</v>
      </c>
      <c r="G417" s="1">
        <v>2924</v>
      </c>
      <c r="H417" s="1" t="s">
        <v>630</v>
      </c>
      <c r="I417" s="1" t="s">
        <v>5394</v>
      </c>
      <c r="J417" s="1" t="s">
        <v>5395</v>
      </c>
      <c r="K417" s="126" t="s">
        <v>5396</v>
      </c>
      <c r="L417" s="1" t="s">
        <v>5397</v>
      </c>
      <c r="M417" s="131">
        <v>754106</v>
      </c>
      <c r="N417" s="126" t="s">
        <v>5083</v>
      </c>
      <c r="O417" s="131">
        <v>9776544818</v>
      </c>
      <c r="P417" s="1" t="s">
        <v>5398</v>
      </c>
      <c r="Q417" s="1" t="s">
        <v>5399</v>
      </c>
      <c r="R417" s="1" t="s">
        <v>5400</v>
      </c>
      <c r="S417" s="1">
        <v>3000</v>
      </c>
      <c r="T417" s="1">
        <v>25667</v>
      </c>
      <c r="U417" s="1">
        <v>28667</v>
      </c>
      <c r="V417" s="1" t="s">
        <v>672</v>
      </c>
      <c r="W417" s="129" t="s">
        <v>5401</v>
      </c>
      <c r="X417" t="s">
        <v>5402</v>
      </c>
      <c r="Y417" t="s">
        <v>644</v>
      </c>
      <c r="Z417" t="s">
        <v>645</v>
      </c>
    </row>
    <row r="418" spans="1:26" x14ac:dyDescent="0.3">
      <c r="A418" s="1" t="s">
        <v>5403</v>
      </c>
      <c r="B418" s="126" t="s">
        <v>5077</v>
      </c>
      <c r="C418" s="54" t="s">
        <v>2544</v>
      </c>
      <c r="D418" s="127" t="s">
        <v>5404</v>
      </c>
      <c r="E418" s="1">
        <v>72400</v>
      </c>
      <c r="F418" s="1">
        <v>40</v>
      </c>
      <c r="G418" s="1">
        <v>2865</v>
      </c>
      <c r="H418" s="1" t="s">
        <v>630</v>
      </c>
      <c r="I418" s="1" t="s">
        <v>5405</v>
      </c>
      <c r="J418" s="1" t="s">
        <v>5406</v>
      </c>
      <c r="K418" s="126" t="s">
        <v>5407</v>
      </c>
      <c r="L418" s="1" t="s">
        <v>5094</v>
      </c>
      <c r="M418" s="131">
        <v>752090</v>
      </c>
      <c r="N418" s="126" t="s">
        <v>5083</v>
      </c>
      <c r="O418" s="131">
        <v>6379334252</v>
      </c>
      <c r="P418" s="1" t="s">
        <v>5408</v>
      </c>
      <c r="Q418" s="1" t="s">
        <v>5409</v>
      </c>
      <c r="R418" s="1" t="s">
        <v>5410</v>
      </c>
      <c r="S418" s="1">
        <v>3000</v>
      </c>
      <c r="T418" s="1">
        <v>38032</v>
      </c>
      <c r="U418" s="1">
        <v>41032</v>
      </c>
      <c r="V418" s="1" t="s">
        <v>672</v>
      </c>
      <c r="W418" s="129" t="s">
        <v>5411</v>
      </c>
      <c r="X418" t="s">
        <v>5412</v>
      </c>
      <c r="Y418" t="s">
        <v>644</v>
      </c>
      <c r="Z418" t="s">
        <v>645</v>
      </c>
    </row>
    <row r="419" spans="1:26" x14ac:dyDescent="0.3">
      <c r="A419" s="1" t="s">
        <v>5413</v>
      </c>
      <c r="B419" s="126" t="s">
        <v>5077</v>
      </c>
      <c r="C419" s="54" t="s">
        <v>1335</v>
      </c>
      <c r="D419" s="127" t="s">
        <v>5414</v>
      </c>
      <c r="E419" s="1">
        <v>80900</v>
      </c>
      <c r="F419" s="1">
        <v>43</v>
      </c>
      <c r="G419" s="1">
        <v>3225</v>
      </c>
      <c r="H419" s="1" t="s">
        <v>630</v>
      </c>
      <c r="I419" s="1" t="s">
        <v>5415</v>
      </c>
      <c r="J419" s="1" t="s">
        <v>5416</v>
      </c>
      <c r="K419" s="126" t="s">
        <v>5417</v>
      </c>
      <c r="L419" s="1" t="s">
        <v>5418</v>
      </c>
      <c r="M419" s="131">
        <v>758079</v>
      </c>
      <c r="N419" s="126" t="s">
        <v>5083</v>
      </c>
      <c r="O419" s="131">
        <v>6371329218</v>
      </c>
      <c r="P419" s="1" t="s">
        <v>5419</v>
      </c>
      <c r="Q419" s="1" t="s">
        <v>5420</v>
      </c>
      <c r="R419" s="1" t="s">
        <v>5421</v>
      </c>
      <c r="S419" s="1">
        <v>3000</v>
      </c>
      <c r="T419" s="1">
        <v>124448</v>
      </c>
      <c r="U419" s="1">
        <v>127448</v>
      </c>
      <c r="V419" s="1" t="s">
        <v>1303</v>
      </c>
      <c r="W419" s="129" t="s">
        <v>5422</v>
      </c>
      <c r="X419" t="s">
        <v>5423</v>
      </c>
      <c r="Y419" t="s">
        <v>644</v>
      </c>
      <c r="Z419" t="s">
        <v>645</v>
      </c>
    </row>
    <row r="420" spans="1:26" x14ac:dyDescent="0.3">
      <c r="A420" s="1" t="s">
        <v>5424</v>
      </c>
      <c r="B420" s="126" t="s">
        <v>5077</v>
      </c>
      <c r="C420" s="54" t="s">
        <v>689</v>
      </c>
      <c r="D420" s="127" t="s">
        <v>4806</v>
      </c>
      <c r="E420" s="1">
        <v>60900</v>
      </c>
      <c r="F420" s="1">
        <v>48</v>
      </c>
      <c r="G420" s="1">
        <v>2400</v>
      </c>
      <c r="H420" s="1" t="s">
        <v>630</v>
      </c>
      <c r="I420" s="1" t="s">
        <v>5425</v>
      </c>
      <c r="J420" s="1" t="s">
        <v>5426</v>
      </c>
      <c r="K420" s="126" t="s">
        <v>5427</v>
      </c>
      <c r="L420" s="1" t="s">
        <v>5107</v>
      </c>
      <c r="M420" s="131">
        <v>754292</v>
      </c>
      <c r="N420" s="126" t="s">
        <v>5083</v>
      </c>
      <c r="O420" s="131">
        <v>7681895733</v>
      </c>
      <c r="P420" s="1" t="s">
        <v>5428</v>
      </c>
      <c r="Q420" s="1" t="s">
        <v>5429</v>
      </c>
      <c r="R420" s="1" t="s">
        <v>5430</v>
      </c>
      <c r="S420" s="1">
        <v>3000</v>
      </c>
      <c r="T420" s="1">
        <v>63239</v>
      </c>
      <c r="U420" s="1">
        <v>66239</v>
      </c>
      <c r="V420" s="1" t="s">
        <v>698</v>
      </c>
      <c r="W420" s="129" t="s">
        <v>5431</v>
      </c>
      <c r="X420" t="s">
        <v>5432</v>
      </c>
      <c r="Y420" t="s">
        <v>644</v>
      </c>
      <c r="Z420" t="s">
        <v>645</v>
      </c>
    </row>
    <row r="421" spans="1:26" x14ac:dyDescent="0.3">
      <c r="A421" s="1" t="s">
        <v>5433</v>
      </c>
      <c r="B421" s="126" t="s">
        <v>5077</v>
      </c>
      <c r="C421" s="54" t="s">
        <v>2565</v>
      </c>
      <c r="D421" s="127" t="s">
        <v>5434</v>
      </c>
      <c r="E421" s="1">
        <v>319250</v>
      </c>
      <c r="F421" s="1">
        <v>55</v>
      </c>
      <c r="G421" s="1">
        <v>9445</v>
      </c>
      <c r="H421" s="1" t="s">
        <v>630</v>
      </c>
      <c r="I421" s="1" t="s">
        <v>5435</v>
      </c>
      <c r="J421" s="1" t="s">
        <v>5436</v>
      </c>
      <c r="K421" s="126" t="s">
        <v>5437</v>
      </c>
      <c r="L421" s="1" t="s">
        <v>5231</v>
      </c>
      <c r="M421" s="131">
        <v>760002</v>
      </c>
      <c r="N421" s="126" t="s">
        <v>5083</v>
      </c>
      <c r="O421" s="131">
        <v>8270789090</v>
      </c>
      <c r="P421" s="1" t="s">
        <v>5438</v>
      </c>
      <c r="Q421" s="1" t="s">
        <v>5439</v>
      </c>
      <c r="R421" s="1" t="s">
        <v>5440</v>
      </c>
      <c r="S421" s="1">
        <v>15000</v>
      </c>
      <c r="T421" s="1">
        <v>337941</v>
      </c>
      <c r="U421" s="1">
        <v>352941</v>
      </c>
      <c r="V421" s="1" t="s">
        <v>5441</v>
      </c>
      <c r="W421" s="129" t="s">
        <v>5442</v>
      </c>
      <c r="X421" t="s">
        <v>5443</v>
      </c>
      <c r="Y421" t="s">
        <v>644</v>
      </c>
      <c r="Z421" t="s">
        <v>645</v>
      </c>
    </row>
    <row r="422" spans="1:26" x14ac:dyDescent="0.3">
      <c r="A422" s="1" t="s">
        <v>5444</v>
      </c>
      <c r="B422" s="126" t="s">
        <v>5077</v>
      </c>
      <c r="C422" s="54" t="s">
        <v>2483</v>
      </c>
      <c r="D422" s="127" t="s">
        <v>5445</v>
      </c>
      <c r="E422" s="1">
        <v>70900</v>
      </c>
      <c r="F422" s="1">
        <v>40</v>
      </c>
      <c r="G422" s="1">
        <v>2484</v>
      </c>
      <c r="H422" s="1" t="s">
        <v>630</v>
      </c>
      <c r="I422" s="1" t="s">
        <v>5446</v>
      </c>
      <c r="J422" s="1" t="s">
        <v>5447</v>
      </c>
      <c r="K422" s="126" t="s">
        <v>5448</v>
      </c>
      <c r="L422" s="1" t="s">
        <v>5281</v>
      </c>
      <c r="M422" s="131">
        <v>752018</v>
      </c>
      <c r="N422" s="126" t="s">
        <v>5083</v>
      </c>
      <c r="O422" s="131">
        <v>7377618878</v>
      </c>
      <c r="P422" s="1" t="s">
        <v>5449</v>
      </c>
      <c r="Q422" s="1" t="s">
        <v>5450</v>
      </c>
      <c r="R422" s="1" t="s">
        <v>5451</v>
      </c>
      <c r="S422" s="1">
        <v>3000</v>
      </c>
      <c r="T422" s="1">
        <v>23389</v>
      </c>
      <c r="U422" s="1">
        <v>26389</v>
      </c>
      <c r="V422" s="1" t="s">
        <v>672</v>
      </c>
      <c r="W422" s="129" t="s">
        <v>5452</v>
      </c>
      <c r="X422" t="s">
        <v>5453</v>
      </c>
      <c r="Y422" t="s">
        <v>644</v>
      </c>
      <c r="Z422" t="s">
        <v>645</v>
      </c>
    </row>
    <row r="423" spans="1:26" x14ac:dyDescent="0.3">
      <c r="A423" s="1" t="s">
        <v>5454</v>
      </c>
      <c r="B423" s="126" t="s">
        <v>5077</v>
      </c>
      <c r="C423" s="54" t="s">
        <v>2483</v>
      </c>
      <c r="D423" s="127" t="s">
        <v>5455</v>
      </c>
      <c r="E423" s="1">
        <v>40000</v>
      </c>
      <c r="F423" s="1">
        <v>36</v>
      </c>
      <c r="G423" s="1">
        <v>1750</v>
      </c>
      <c r="H423" s="1" t="s">
        <v>630</v>
      </c>
      <c r="I423" s="1" t="s">
        <v>5456</v>
      </c>
      <c r="J423" s="1" t="s">
        <v>5457</v>
      </c>
      <c r="K423" s="126" t="s">
        <v>5458</v>
      </c>
      <c r="L423" s="1" t="s">
        <v>5107</v>
      </c>
      <c r="M423" s="131">
        <v>755008</v>
      </c>
      <c r="N423" s="126" t="s">
        <v>5083</v>
      </c>
      <c r="O423" s="131">
        <v>9583454587</v>
      </c>
      <c r="P423" s="1" t="s">
        <v>5459</v>
      </c>
      <c r="Q423" s="1" t="s">
        <v>5460</v>
      </c>
      <c r="R423" s="1" t="s">
        <v>5461</v>
      </c>
      <c r="S423" s="1">
        <v>3000</v>
      </c>
      <c r="T423" s="1">
        <v>51684</v>
      </c>
      <c r="U423" s="1">
        <v>54684</v>
      </c>
      <c r="V423" s="1" t="s">
        <v>1675</v>
      </c>
      <c r="W423" s="129" t="s">
        <v>5462</v>
      </c>
      <c r="X423" t="s">
        <v>5463</v>
      </c>
      <c r="Y423" t="s">
        <v>644</v>
      </c>
      <c r="Z423" t="s">
        <v>645</v>
      </c>
    </row>
    <row r="424" spans="1:26" x14ac:dyDescent="0.3">
      <c r="A424" s="1" t="s">
        <v>5464</v>
      </c>
      <c r="B424" s="126" t="s">
        <v>5077</v>
      </c>
      <c r="C424" s="54" t="s">
        <v>2544</v>
      </c>
      <c r="D424" s="127" t="s">
        <v>5465</v>
      </c>
      <c r="E424" s="1">
        <v>90900</v>
      </c>
      <c r="F424" s="1">
        <v>40</v>
      </c>
      <c r="G424" s="1">
        <v>3245</v>
      </c>
      <c r="H424" s="1" t="s">
        <v>630</v>
      </c>
      <c r="I424" s="1" t="s">
        <v>5466</v>
      </c>
      <c r="J424" s="1" t="s">
        <v>5467</v>
      </c>
      <c r="K424" s="126" t="s">
        <v>5468</v>
      </c>
      <c r="L424" s="1" t="s">
        <v>5281</v>
      </c>
      <c r="M424" s="131">
        <v>752023</v>
      </c>
      <c r="N424" s="126" t="s">
        <v>5083</v>
      </c>
      <c r="O424" s="131">
        <v>9114512842</v>
      </c>
      <c r="P424" s="1" t="s">
        <v>5469</v>
      </c>
      <c r="Q424" s="1" t="s">
        <v>5470</v>
      </c>
      <c r="R424" s="1" t="s">
        <v>5471</v>
      </c>
      <c r="S424" s="1">
        <v>3000</v>
      </c>
      <c r="T424" s="1">
        <v>61649</v>
      </c>
      <c r="U424" s="1">
        <v>64649</v>
      </c>
      <c r="V424" s="1" t="s">
        <v>2782</v>
      </c>
      <c r="W424" s="129" t="s">
        <v>5472</v>
      </c>
      <c r="X424" t="s">
        <v>5473</v>
      </c>
      <c r="Y424" t="s">
        <v>644</v>
      </c>
      <c r="Z424" t="s">
        <v>645</v>
      </c>
    </row>
    <row r="425" spans="1:26" x14ac:dyDescent="0.3">
      <c r="A425" s="1" t="s">
        <v>5474</v>
      </c>
      <c r="B425" s="126" t="s">
        <v>5077</v>
      </c>
      <c r="C425" s="54" t="s">
        <v>2483</v>
      </c>
      <c r="D425" s="127" t="s">
        <v>5475</v>
      </c>
      <c r="E425" s="1">
        <v>54700</v>
      </c>
      <c r="F425" s="1">
        <v>36</v>
      </c>
      <c r="G425" s="1">
        <v>2222</v>
      </c>
      <c r="H425" s="1" t="s">
        <v>630</v>
      </c>
      <c r="I425" s="1" t="s">
        <v>5476</v>
      </c>
      <c r="J425" s="1" t="s">
        <v>5338</v>
      </c>
      <c r="K425" s="126" t="s">
        <v>5477</v>
      </c>
      <c r="L425" s="1" t="s">
        <v>5269</v>
      </c>
      <c r="M425" s="131">
        <v>754207</v>
      </c>
      <c r="N425" s="126" t="s">
        <v>5083</v>
      </c>
      <c r="O425" s="131">
        <v>9937951098</v>
      </c>
      <c r="P425" s="1" t="s">
        <v>682</v>
      </c>
      <c r="Q425" s="1" t="s">
        <v>5478</v>
      </c>
      <c r="R425" s="1" t="s">
        <v>5479</v>
      </c>
      <c r="S425" s="1">
        <v>3000</v>
      </c>
      <c r="T425" s="1">
        <v>58786</v>
      </c>
      <c r="U425" s="1">
        <v>61786</v>
      </c>
      <c r="V425" s="1" t="s">
        <v>1078</v>
      </c>
      <c r="W425" s="129" t="s">
        <v>5480</v>
      </c>
      <c r="X425" t="s">
        <v>5481</v>
      </c>
      <c r="Y425" t="s">
        <v>644</v>
      </c>
      <c r="Z425" t="s">
        <v>645</v>
      </c>
    </row>
    <row r="426" spans="1:26" x14ac:dyDescent="0.3">
      <c r="A426" s="126" t="s">
        <v>5482</v>
      </c>
      <c r="B426" s="126" t="s">
        <v>5483</v>
      </c>
      <c r="C426" s="54" t="s">
        <v>628</v>
      </c>
      <c r="D426" s="127" t="s">
        <v>5484</v>
      </c>
      <c r="E426" s="126">
        <v>51000</v>
      </c>
      <c r="F426" s="126">
        <v>40</v>
      </c>
      <c r="G426" s="126">
        <v>2176</v>
      </c>
      <c r="H426" s="126" t="s">
        <v>630</v>
      </c>
      <c r="I426" s="126" t="s">
        <v>5485</v>
      </c>
      <c r="J426" s="126" t="s">
        <v>5486</v>
      </c>
      <c r="K426" s="126" t="s">
        <v>5487</v>
      </c>
      <c r="L426" s="126" t="s">
        <v>5488</v>
      </c>
      <c r="M426" s="128" t="s">
        <v>5489</v>
      </c>
      <c r="N426" s="126" t="s">
        <v>5490</v>
      </c>
      <c r="O426" s="128" t="s">
        <v>5491</v>
      </c>
      <c r="P426" s="126" t="s">
        <v>5492</v>
      </c>
      <c r="Q426" s="126" t="s">
        <v>5493</v>
      </c>
      <c r="R426" s="126" t="s">
        <v>5494</v>
      </c>
      <c r="S426" s="126">
        <v>3000</v>
      </c>
      <c r="T426" s="126">
        <v>36441</v>
      </c>
      <c r="U426" s="126">
        <v>39441</v>
      </c>
      <c r="V426" s="126" t="s">
        <v>657</v>
      </c>
      <c r="W426" s="129" t="s">
        <v>5495</v>
      </c>
      <c r="X426" t="s">
        <v>5496</v>
      </c>
      <c r="Y426" t="s">
        <v>644</v>
      </c>
      <c r="Z426" t="s">
        <v>645</v>
      </c>
    </row>
    <row r="427" spans="1:26" x14ac:dyDescent="0.3">
      <c r="A427" s="126" t="s">
        <v>5497</v>
      </c>
      <c r="B427" s="126" t="s">
        <v>5483</v>
      </c>
      <c r="C427" s="54" t="s">
        <v>702</v>
      </c>
      <c r="D427" s="127" t="s">
        <v>5498</v>
      </c>
      <c r="E427" s="126">
        <v>60400</v>
      </c>
      <c r="F427" s="126">
        <v>36</v>
      </c>
      <c r="G427" s="126">
        <v>2587</v>
      </c>
      <c r="H427" s="126" t="s">
        <v>630</v>
      </c>
      <c r="I427" s="126" t="s">
        <v>5499</v>
      </c>
      <c r="J427" s="126" t="s">
        <v>5500</v>
      </c>
      <c r="K427" s="126" t="s">
        <v>5501</v>
      </c>
      <c r="L427" s="126" t="s">
        <v>5502</v>
      </c>
      <c r="M427" s="128" t="s">
        <v>5503</v>
      </c>
      <c r="N427" s="126" t="s">
        <v>5490</v>
      </c>
      <c r="O427" s="128" t="s">
        <v>5504</v>
      </c>
      <c r="P427" s="126" t="s">
        <v>5505</v>
      </c>
      <c r="Q427" s="126" t="s">
        <v>5506</v>
      </c>
      <c r="R427" s="126" t="s">
        <v>5507</v>
      </c>
      <c r="S427" s="126">
        <v>3000</v>
      </c>
      <c r="T427" s="126">
        <v>109094</v>
      </c>
      <c r="U427" s="126">
        <v>112094</v>
      </c>
      <c r="V427" s="126" t="s">
        <v>857</v>
      </c>
      <c r="W427" s="129" t="s">
        <v>5508</v>
      </c>
      <c r="X427" t="s">
        <v>5509</v>
      </c>
      <c r="Y427" t="s">
        <v>644</v>
      </c>
      <c r="Z427" t="s">
        <v>645</v>
      </c>
    </row>
    <row r="428" spans="1:26" x14ac:dyDescent="0.3">
      <c r="A428" s="126" t="s">
        <v>5510</v>
      </c>
      <c r="B428" s="126" t="s">
        <v>5483</v>
      </c>
      <c r="C428" s="54" t="s">
        <v>702</v>
      </c>
      <c r="D428" s="127" t="s">
        <v>1209</v>
      </c>
      <c r="E428" s="126">
        <v>67508</v>
      </c>
      <c r="F428" s="126">
        <v>40</v>
      </c>
      <c r="G428" s="126">
        <v>2607</v>
      </c>
      <c r="H428" s="126" t="s">
        <v>630</v>
      </c>
      <c r="I428" s="126" t="s">
        <v>5511</v>
      </c>
      <c r="J428" s="126" t="s">
        <v>5512</v>
      </c>
      <c r="K428" s="126" t="s">
        <v>5513</v>
      </c>
      <c r="L428" s="126" t="s">
        <v>5514</v>
      </c>
      <c r="M428" s="128" t="s">
        <v>5515</v>
      </c>
      <c r="N428" s="126" t="s">
        <v>5490</v>
      </c>
      <c r="O428" s="128" t="s">
        <v>5516</v>
      </c>
      <c r="P428" s="126" t="s">
        <v>5517</v>
      </c>
      <c r="Q428" s="126" t="s">
        <v>5518</v>
      </c>
      <c r="R428" s="126" t="s">
        <v>5519</v>
      </c>
      <c r="S428" s="126">
        <v>3000</v>
      </c>
      <c r="T428" s="126">
        <v>69042</v>
      </c>
      <c r="U428" s="126">
        <v>72042</v>
      </c>
      <c r="V428" s="126" t="s">
        <v>4648</v>
      </c>
      <c r="W428" s="129" t="s">
        <v>5520</v>
      </c>
      <c r="X428" t="s">
        <v>5521</v>
      </c>
      <c r="Y428" t="s">
        <v>644</v>
      </c>
      <c r="Z428" t="s">
        <v>645</v>
      </c>
    </row>
    <row r="429" spans="1:26" x14ac:dyDescent="0.3">
      <c r="A429" s="1" t="s">
        <v>5522</v>
      </c>
      <c r="B429" s="126" t="s">
        <v>5483</v>
      </c>
      <c r="C429" s="54" t="s">
        <v>1335</v>
      </c>
      <c r="D429" s="127" t="s">
        <v>5523</v>
      </c>
      <c r="E429" s="1">
        <v>74855</v>
      </c>
      <c r="F429" s="1">
        <v>36</v>
      </c>
      <c r="G429" s="1">
        <v>2975</v>
      </c>
      <c r="H429" s="1" t="s">
        <v>630</v>
      </c>
      <c r="I429" s="1" t="s">
        <v>5524</v>
      </c>
      <c r="J429" s="1" t="s">
        <v>5525</v>
      </c>
      <c r="K429" s="126" t="s">
        <v>5526</v>
      </c>
      <c r="L429" s="1" t="s">
        <v>5527</v>
      </c>
      <c r="M429" s="131">
        <v>144802</v>
      </c>
      <c r="N429" s="126" t="s">
        <v>5490</v>
      </c>
      <c r="O429" s="131">
        <v>9876224379</v>
      </c>
      <c r="P429" s="1" t="s">
        <v>682</v>
      </c>
      <c r="Q429" s="1" t="s">
        <v>5528</v>
      </c>
      <c r="R429" s="1" t="s">
        <v>5529</v>
      </c>
      <c r="S429" s="1">
        <v>3000</v>
      </c>
      <c r="T429" s="1">
        <v>108164</v>
      </c>
      <c r="U429" s="1">
        <v>111164</v>
      </c>
      <c r="V429" s="1" t="s">
        <v>5530</v>
      </c>
      <c r="W429" s="129" t="s">
        <v>5531</v>
      </c>
      <c r="X429" t="s">
        <v>5532</v>
      </c>
      <c r="Y429" t="s">
        <v>644</v>
      </c>
      <c r="Z429" t="s">
        <v>645</v>
      </c>
    </row>
    <row r="430" spans="1:26" x14ac:dyDescent="0.3">
      <c r="A430" s="1" t="s">
        <v>5533</v>
      </c>
      <c r="B430" s="126" t="s">
        <v>5483</v>
      </c>
      <c r="C430" s="54" t="s">
        <v>1335</v>
      </c>
      <c r="D430" s="127" t="s">
        <v>5534</v>
      </c>
      <c r="E430" s="1">
        <v>55800</v>
      </c>
      <c r="F430" s="1">
        <v>43</v>
      </c>
      <c r="G430" s="1">
        <v>2206</v>
      </c>
      <c r="H430" s="1" t="s">
        <v>630</v>
      </c>
      <c r="I430" s="1" t="s">
        <v>5535</v>
      </c>
      <c r="J430" s="1" t="s">
        <v>5536</v>
      </c>
      <c r="K430" s="126" t="s">
        <v>5537</v>
      </c>
      <c r="L430" s="1" t="s">
        <v>5488</v>
      </c>
      <c r="M430" s="131">
        <v>143001</v>
      </c>
      <c r="N430" s="126" t="s">
        <v>5490</v>
      </c>
      <c r="O430" s="131">
        <v>9888056319</v>
      </c>
      <c r="P430" s="1" t="s">
        <v>5538</v>
      </c>
      <c r="Q430" s="1" t="s">
        <v>5539</v>
      </c>
      <c r="R430" s="1" t="s">
        <v>5540</v>
      </c>
      <c r="S430" s="1">
        <v>3000</v>
      </c>
      <c r="T430" s="1">
        <v>72401</v>
      </c>
      <c r="U430" s="1">
        <v>75401</v>
      </c>
      <c r="V430" s="1" t="s">
        <v>657</v>
      </c>
      <c r="W430" s="129" t="s">
        <v>5541</v>
      </c>
      <c r="X430" t="s">
        <v>5542</v>
      </c>
      <c r="Y430" t="s">
        <v>644</v>
      </c>
      <c r="Z430" t="s">
        <v>645</v>
      </c>
    </row>
    <row r="431" spans="1:26" x14ac:dyDescent="0.3">
      <c r="A431" s="1" t="s">
        <v>5543</v>
      </c>
      <c r="B431" s="126" t="s">
        <v>5483</v>
      </c>
      <c r="C431" s="54" t="s">
        <v>2857</v>
      </c>
      <c r="D431" s="127" t="s">
        <v>5544</v>
      </c>
      <c r="E431" s="1">
        <v>67000</v>
      </c>
      <c r="F431" s="1">
        <v>36</v>
      </c>
      <c r="G431" s="1">
        <v>2688</v>
      </c>
      <c r="H431" s="1" t="s">
        <v>630</v>
      </c>
      <c r="I431" s="1" t="s">
        <v>5545</v>
      </c>
      <c r="J431" s="1" t="s">
        <v>5546</v>
      </c>
      <c r="K431" s="126" t="s">
        <v>5547</v>
      </c>
      <c r="L431" s="1" t="s">
        <v>5548</v>
      </c>
      <c r="M431" s="131">
        <v>144521</v>
      </c>
      <c r="N431" s="126" t="s">
        <v>5490</v>
      </c>
      <c r="O431" s="131">
        <v>8699995991</v>
      </c>
      <c r="P431" s="1" t="s">
        <v>5549</v>
      </c>
      <c r="Q431" s="1" t="s">
        <v>5550</v>
      </c>
      <c r="R431" s="1" t="s">
        <v>5551</v>
      </c>
      <c r="S431" s="1">
        <v>3000</v>
      </c>
      <c r="T431" s="1">
        <v>77258</v>
      </c>
      <c r="U431" s="1">
        <v>80258</v>
      </c>
      <c r="V431" s="1" t="s">
        <v>978</v>
      </c>
      <c r="W431" s="129" t="s">
        <v>5552</v>
      </c>
      <c r="X431" t="s">
        <v>5553</v>
      </c>
      <c r="Y431" t="s">
        <v>644</v>
      </c>
      <c r="Z431" t="s">
        <v>645</v>
      </c>
    </row>
    <row r="432" spans="1:26" x14ac:dyDescent="0.3">
      <c r="A432" s="126" t="s">
        <v>5554</v>
      </c>
      <c r="B432" s="126" t="s">
        <v>5555</v>
      </c>
      <c r="C432" s="1" t="s">
        <v>682</v>
      </c>
      <c r="D432" s="127" t="s">
        <v>5556</v>
      </c>
      <c r="E432" s="126">
        <v>492250</v>
      </c>
      <c r="F432" s="126">
        <v>48</v>
      </c>
      <c r="G432" s="126">
        <v>15520</v>
      </c>
      <c r="H432" s="126" t="s">
        <v>630</v>
      </c>
      <c r="I432" s="126" t="s">
        <v>5557</v>
      </c>
      <c r="J432" s="126" t="s">
        <v>5558</v>
      </c>
      <c r="K432" s="126" t="s">
        <v>5559</v>
      </c>
      <c r="L432" s="126" t="s">
        <v>5560</v>
      </c>
      <c r="M432" s="128" t="s">
        <v>5561</v>
      </c>
      <c r="N432" s="126" t="s">
        <v>5562</v>
      </c>
      <c r="O432" s="128" t="s">
        <v>5563</v>
      </c>
      <c r="P432" s="126" t="s">
        <v>5564</v>
      </c>
      <c r="Q432" s="126" t="s">
        <v>5565</v>
      </c>
      <c r="R432" s="126" t="s">
        <v>5566</v>
      </c>
      <c r="S432" s="126">
        <v>15000</v>
      </c>
      <c r="T432" s="126">
        <v>479668</v>
      </c>
      <c r="U432" s="126">
        <v>494668</v>
      </c>
      <c r="V432" s="126" t="s">
        <v>5567</v>
      </c>
      <c r="W432" s="129" t="s">
        <v>5568</v>
      </c>
      <c r="X432" t="s">
        <v>5569</v>
      </c>
      <c r="Y432" t="s">
        <v>644</v>
      </c>
      <c r="Z432" t="s">
        <v>645</v>
      </c>
    </row>
    <row r="433" spans="1:26" x14ac:dyDescent="0.3">
      <c r="A433" s="126" t="s">
        <v>5570</v>
      </c>
      <c r="B433" s="126" t="s">
        <v>5555</v>
      </c>
      <c r="C433" s="54" t="s">
        <v>702</v>
      </c>
      <c r="D433" s="127" t="s">
        <v>5571</v>
      </c>
      <c r="E433" s="126">
        <v>89709</v>
      </c>
      <c r="F433" s="126">
        <v>30</v>
      </c>
      <c r="G433" s="126">
        <v>4111</v>
      </c>
      <c r="H433" s="126" t="s">
        <v>630</v>
      </c>
      <c r="I433" s="126" t="s">
        <v>5572</v>
      </c>
      <c r="J433" s="126" t="s">
        <v>5573</v>
      </c>
      <c r="K433" s="126" t="s">
        <v>5574</v>
      </c>
      <c r="L433" s="126" t="s">
        <v>5575</v>
      </c>
      <c r="M433" s="128" t="s">
        <v>5576</v>
      </c>
      <c r="N433" s="126" t="s">
        <v>5562</v>
      </c>
      <c r="O433" s="128" t="s">
        <v>5577</v>
      </c>
      <c r="P433" s="126" t="s">
        <v>5578</v>
      </c>
      <c r="Q433" s="126" t="s">
        <v>5579</v>
      </c>
      <c r="R433" s="126" t="s">
        <v>5580</v>
      </c>
      <c r="S433" s="126">
        <v>3000</v>
      </c>
      <c r="T433" s="126">
        <v>83750</v>
      </c>
      <c r="U433" s="126">
        <v>86750</v>
      </c>
      <c r="V433" s="126" t="s">
        <v>1369</v>
      </c>
      <c r="W433" s="129" t="s">
        <v>5581</v>
      </c>
      <c r="X433" t="s">
        <v>5582</v>
      </c>
      <c r="Y433" t="s">
        <v>644</v>
      </c>
      <c r="Z433" t="s">
        <v>645</v>
      </c>
    </row>
    <row r="434" spans="1:26" x14ac:dyDescent="0.3">
      <c r="A434" s="126" t="s">
        <v>5583</v>
      </c>
      <c r="B434" s="126" t="s">
        <v>5555</v>
      </c>
      <c r="C434" s="54" t="s">
        <v>702</v>
      </c>
      <c r="D434" s="127" t="s">
        <v>5584</v>
      </c>
      <c r="E434" s="126">
        <v>54510</v>
      </c>
      <c r="F434" s="126">
        <v>24</v>
      </c>
      <c r="G434" s="126">
        <v>3010</v>
      </c>
      <c r="H434" s="126" t="s">
        <v>630</v>
      </c>
      <c r="I434" s="126" t="s">
        <v>5585</v>
      </c>
      <c r="J434" s="126" t="s">
        <v>5586</v>
      </c>
      <c r="K434" s="126" t="s">
        <v>5587</v>
      </c>
      <c r="L434" s="126" t="s">
        <v>5588</v>
      </c>
      <c r="M434" s="128" t="s">
        <v>5589</v>
      </c>
      <c r="N434" s="126" t="s">
        <v>5562</v>
      </c>
      <c r="O434" s="128" t="s">
        <v>5590</v>
      </c>
      <c r="P434" s="126" t="s">
        <v>5591</v>
      </c>
      <c r="Q434" s="126" t="s">
        <v>5592</v>
      </c>
      <c r="R434" s="126" t="s">
        <v>5593</v>
      </c>
      <c r="S434" s="126">
        <v>3000</v>
      </c>
      <c r="T434" s="126">
        <v>46201</v>
      </c>
      <c r="U434" s="126">
        <v>49201</v>
      </c>
      <c r="V434" s="126" t="s">
        <v>1078</v>
      </c>
      <c r="W434" s="129" t="s">
        <v>5594</v>
      </c>
      <c r="X434" t="s">
        <v>5595</v>
      </c>
      <c r="Y434" t="s">
        <v>644</v>
      </c>
      <c r="Z434" t="s">
        <v>645</v>
      </c>
    </row>
    <row r="435" spans="1:26" x14ac:dyDescent="0.3">
      <c r="A435" s="126" t="s">
        <v>5596</v>
      </c>
      <c r="B435" s="126" t="s">
        <v>5555</v>
      </c>
      <c r="C435" s="54" t="s">
        <v>628</v>
      </c>
      <c r="D435" s="127" t="s">
        <v>3692</v>
      </c>
      <c r="E435" s="126">
        <v>74450</v>
      </c>
      <c r="F435" s="126">
        <v>36</v>
      </c>
      <c r="G435" s="126">
        <v>2943</v>
      </c>
      <c r="H435" s="126" t="s">
        <v>630</v>
      </c>
      <c r="I435" s="126" t="s">
        <v>5597</v>
      </c>
      <c r="J435" s="126" t="s">
        <v>5598</v>
      </c>
      <c r="K435" s="126" t="s">
        <v>5599</v>
      </c>
      <c r="L435" s="126" t="s">
        <v>5560</v>
      </c>
      <c r="M435" s="128" t="s">
        <v>5600</v>
      </c>
      <c r="N435" s="126" t="s">
        <v>5562</v>
      </c>
      <c r="O435" s="128" t="s">
        <v>5601</v>
      </c>
      <c r="P435" s="126" t="s">
        <v>5602</v>
      </c>
      <c r="Q435" s="126" t="s">
        <v>5603</v>
      </c>
      <c r="R435" s="126" t="s">
        <v>5604</v>
      </c>
      <c r="S435" s="126">
        <v>3000</v>
      </c>
      <c r="T435" s="126">
        <v>85129</v>
      </c>
      <c r="U435" s="126">
        <v>88129</v>
      </c>
      <c r="V435" s="126" t="s">
        <v>978</v>
      </c>
      <c r="W435" s="129" t="s">
        <v>5605</v>
      </c>
      <c r="X435" t="s">
        <v>5606</v>
      </c>
      <c r="Y435" t="s">
        <v>644</v>
      </c>
      <c r="Z435" t="s">
        <v>645</v>
      </c>
    </row>
    <row r="436" spans="1:26" x14ac:dyDescent="0.3">
      <c r="A436" s="126" t="s">
        <v>5607</v>
      </c>
      <c r="B436" s="126" t="s">
        <v>5555</v>
      </c>
      <c r="C436" s="54" t="s">
        <v>702</v>
      </c>
      <c r="D436" s="127" t="s">
        <v>5608</v>
      </c>
      <c r="E436" s="126">
        <v>64244</v>
      </c>
      <c r="F436" s="126">
        <v>36</v>
      </c>
      <c r="G436" s="126">
        <v>2735</v>
      </c>
      <c r="H436" s="126" t="s">
        <v>630</v>
      </c>
      <c r="I436" s="126" t="s">
        <v>5609</v>
      </c>
      <c r="J436" s="126" t="s">
        <v>5610</v>
      </c>
      <c r="K436" s="126" t="s">
        <v>5611</v>
      </c>
      <c r="L436" s="126" t="s">
        <v>5612</v>
      </c>
      <c r="M436" s="128" t="s">
        <v>5613</v>
      </c>
      <c r="N436" s="126" t="s">
        <v>5562</v>
      </c>
      <c r="O436" s="128" t="s">
        <v>5614</v>
      </c>
      <c r="P436" s="126" t="s">
        <v>5615</v>
      </c>
      <c r="Q436" s="126" t="s">
        <v>5616</v>
      </c>
      <c r="R436" s="126" t="s">
        <v>5617</v>
      </c>
      <c r="S436" s="126">
        <v>3000</v>
      </c>
      <c r="T436" s="126">
        <v>118536</v>
      </c>
      <c r="U436" s="126">
        <v>121536</v>
      </c>
      <c r="V436" s="126" t="s">
        <v>883</v>
      </c>
      <c r="W436" s="129" t="s">
        <v>5618</v>
      </c>
      <c r="X436" t="s">
        <v>5619</v>
      </c>
      <c r="Y436" t="s">
        <v>644</v>
      </c>
      <c r="Z436" t="s">
        <v>645</v>
      </c>
    </row>
    <row r="437" spans="1:26" x14ac:dyDescent="0.3">
      <c r="A437" s="126" t="s">
        <v>5620</v>
      </c>
      <c r="B437" s="126" t="s">
        <v>5555</v>
      </c>
      <c r="C437" s="54" t="s">
        <v>628</v>
      </c>
      <c r="D437" s="127" t="s">
        <v>5621</v>
      </c>
      <c r="E437" s="126">
        <v>61050</v>
      </c>
      <c r="F437" s="126">
        <v>30</v>
      </c>
      <c r="G437" s="126">
        <v>2885</v>
      </c>
      <c r="H437" s="126" t="s">
        <v>630</v>
      </c>
      <c r="I437" s="126" t="s">
        <v>5622</v>
      </c>
      <c r="J437" s="126" t="s">
        <v>5586</v>
      </c>
      <c r="K437" s="126" t="s">
        <v>5623</v>
      </c>
      <c r="L437" s="126" t="s">
        <v>5624</v>
      </c>
      <c r="M437" s="128" t="s">
        <v>5625</v>
      </c>
      <c r="N437" s="126" t="s">
        <v>5562</v>
      </c>
      <c r="O437" s="128" t="s">
        <v>5626</v>
      </c>
      <c r="P437" s="126" t="s">
        <v>5627</v>
      </c>
      <c r="Q437" s="126" t="s">
        <v>5628</v>
      </c>
      <c r="R437" s="126" t="s">
        <v>5629</v>
      </c>
      <c r="S437" s="126">
        <v>3000</v>
      </c>
      <c r="T437" s="126">
        <v>64870</v>
      </c>
      <c r="U437" s="126">
        <v>67870</v>
      </c>
      <c r="V437" s="126" t="s">
        <v>5199</v>
      </c>
      <c r="W437" s="129" t="s">
        <v>5630</v>
      </c>
      <c r="X437" t="s">
        <v>5631</v>
      </c>
      <c r="Y437" t="s">
        <v>644</v>
      </c>
      <c r="Z437" t="s">
        <v>645</v>
      </c>
    </row>
    <row r="438" spans="1:26" x14ac:dyDescent="0.3">
      <c r="A438" s="126" t="s">
        <v>5632</v>
      </c>
      <c r="B438" s="126" t="s">
        <v>5555</v>
      </c>
      <c r="C438" s="54" t="s">
        <v>702</v>
      </c>
      <c r="D438" s="127" t="s">
        <v>5633</v>
      </c>
      <c r="E438" s="126">
        <v>44000</v>
      </c>
      <c r="F438" s="126">
        <v>24</v>
      </c>
      <c r="G438" s="126">
        <v>2329</v>
      </c>
      <c r="H438" s="126" t="s">
        <v>630</v>
      </c>
      <c r="I438" s="126" t="s">
        <v>5634</v>
      </c>
      <c r="J438" s="126" t="s">
        <v>5635</v>
      </c>
      <c r="K438" s="126" t="s">
        <v>5636</v>
      </c>
      <c r="L438" s="126" t="s">
        <v>5637</v>
      </c>
      <c r="M438" s="128" t="s">
        <v>5638</v>
      </c>
      <c r="N438" s="126" t="s">
        <v>5562</v>
      </c>
      <c r="O438" s="128" t="s">
        <v>5639</v>
      </c>
      <c r="P438" s="126" t="s">
        <v>5640</v>
      </c>
      <c r="Q438" s="126" t="s">
        <v>5641</v>
      </c>
      <c r="R438" s="126" t="s">
        <v>5642</v>
      </c>
      <c r="S438" s="126">
        <v>3000</v>
      </c>
      <c r="T438" s="126">
        <v>58031</v>
      </c>
      <c r="U438" s="126">
        <v>61031</v>
      </c>
      <c r="V438" s="126" t="s">
        <v>685</v>
      </c>
      <c r="W438" s="129" t="s">
        <v>5643</v>
      </c>
      <c r="X438" t="s">
        <v>5644</v>
      </c>
      <c r="Y438" t="s">
        <v>644</v>
      </c>
      <c r="Z438" t="s">
        <v>645</v>
      </c>
    </row>
    <row r="439" spans="1:26" x14ac:dyDescent="0.3">
      <c r="A439" s="126" t="s">
        <v>5645</v>
      </c>
      <c r="B439" s="126" t="s">
        <v>5555</v>
      </c>
      <c r="C439" s="54" t="s">
        <v>628</v>
      </c>
      <c r="D439" s="127" t="s">
        <v>5646</v>
      </c>
      <c r="E439" s="126">
        <v>74150</v>
      </c>
      <c r="F439" s="126">
        <v>24</v>
      </c>
      <c r="G439" s="126">
        <v>3893</v>
      </c>
      <c r="H439" s="126" t="s">
        <v>630</v>
      </c>
      <c r="I439" s="126" t="s">
        <v>5647</v>
      </c>
      <c r="J439" s="126" t="s">
        <v>5648</v>
      </c>
      <c r="K439" s="126" t="s">
        <v>5649</v>
      </c>
      <c r="L439" s="126" t="s">
        <v>5560</v>
      </c>
      <c r="M439" s="128" t="s">
        <v>5650</v>
      </c>
      <c r="N439" s="126" t="s">
        <v>5562</v>
      </c>
      <c r="O439" s="128" t="s">
        <v>5651</v>
      </c>
      <c r="P439" s="126" t="s">
        <v>5652</v>
      </c>
      <c r="Q439" s="126" t="s">
        <v>5653</v>
      </c>
      <c r="R439" s="126" t="s">
        <v>5654</v>
      </c>
      <c r="S439" s="126">
        <v>3000</v>
      </c>
      <c r="T439" s="126">
        <v>89111</v>
      </c>
      <c r="U439" s="126">
        <v>92111</v>
      </c>
      <c r="V439" s="126" t="s">
        <v>5655</v>
      </c>
      <c r="W439" s="129" t="s">
        <v>5656</v>
      </c>
      <c r="X439" t="s">
        <v>5657</v>
      </c>
      <c r="Y439" t="s">
        <v>644</v>
      </c>
      <c r="Z439" t="s">
        <v>645</v>
      </c>
    </row>
    <row r="440" spans="1:26" x14ac:dyDescent="0.3">
      <c r="A440" s="126" t="s">
        <v>5658</v>
      </c>
      <c r="B440" s="126" t="s">
        <v>5555</v>
      </c>
      <c r="C440" s="54" t="s">
        <v>702</v>
      </c>
      <c r="D440" s="127" t="s">
        <v>5659</v>
      </c>
      <c r="E440" s="126">
        <v>64950</v>
      </c>
      <c r="F440" s="126">
        <v>36</v>
      </c>
      <c r="G440" s="126">
        <v>2707</v>
      </c>
      <c r="H440" s="126" t="s">
        <v>630</v>
      </c>
      <c r="I440" s="126" t="s">
        <v>5660</v>
      </c>
      <c r="J440" s="126" t="s">
        <v>5661</v>
      </c>
      <c r="K440" s="126" t="s">
        <v>5662</v>
      </c>
      <c r="L440" s="126" t="s">
        <v>5663</v>
      </c>
      <c r="M440" s="128" t="s">
        <v>5664</v>
      </c>
      <c r="N440" s="126" t="s">
        <v>5562</v>
      </c>
      <c r="O440" s="128" t="s">
        <v>5665</v>
      </c>
      <c r="P440" s="1" t="s">
        <v>682</v>
      </c>
      <c r="Q440" s="126" t="s">
        <v>5666</v>
      </c>
      <c r="R440" s="126" t="s">
        <v>5667</v>
      </c>
      <c r="S440" s="126">
        <v>3000</v>
      </c>
      <c r="T440" s="126">
        <v>96116</v>
      </c>
      <c r="U440" s="126">
        <v>99116</v>
      </c>
      <c r="V440" s="126" t="s">
        <v>5199</v>
      </c>
      <c r="W440" s="129" t="s">
        <v>5668</v>
      </c>
      <c r="X440" t="s">
        <v>5669</v>
      </c>
      <c r="Y440" t="s">
        <v>644</v>
      </c>
      <c r="Z440" t="s">
        <v>645</v>
      </c>
    </row>
    <row r="441" spans="1:26" x14ac:dyDescent="0.3">
      <c r="A441" s="126" t="s">
        <v>5670</v>
      </c>
      <c r="B441" s="126" t="s">
        <v>5555</v>
      </c>
      <c r="C441" s="54" t="s">
        <v>702</v>
      </c>
      <c r="D441" s="127" t="s">
        <v>5671</v>
      </c>
      <c r="E441" s="126">
        <v>44844</v>
      </c>
      <c r="F441" s="126">
        <v>24</v>
      </c>
      <c r="G441" s="126">
        <v>2420</v>
      </c>
      <c r="H441" s="126" t="s">
        <v>630</v>
      </c>
      <c r="I441" s="126" t="s">
        <v>5672</v>
      </c>
      <c r="J441" s="126" t="s">
        <v>4248</v>
      </c>
      <c r="K441" s="126" t="s">
        <v>5673</v>
      </c>
      <c r="L441" s="126" t="s">
        <v>5674</v>
      </c>
      <c r="M441" s="128" t="s">
        <v>5675</v>
      </c>
      <c r="N441" s="126" t="s">
        <v>5562</v>
      </c>
      <c r="O441" s="128" t="s">
        <v>5676</v>
      </c>
      <c r="P441" s="126" t="s">
        <v>5677</v>
      </c>
      <c r="Q441" s="126" t="s">
        <v>5678</v>
      </c>
      <c r="R441" s="126" t="s">
        <v>5679</v>
      </c>
      <c r="S441" s="126">
        <v>3000</v>
      </c>
      <c r="T441" s="126">
        <v>14248</v>
      </c>
      <c r="U441" s="126">
        <v>17248</v>
      </c>
      <c r="V441" s="126" t="s">
        <v>1078</v>
      </c>
      <c r="W441" s="129" t="s">
        <v>5680</v>
      </c>
      <c r="X441" t="s">
        <v>5681</v>
      </c>
      <c r="Y441" t="s">
        <v>644</v>
      </c>
      <c r="Z441" t="s">
        <v>645</v>
      </c>
    </row>
    <row r="442" spans="1:26" x14ac:dyDescent="0.3">
      <c r="A442" s="126" t="s">
        <v>5682</v>
      </c>
      <c r="B442" s="126" t="s">
        <v>5555</v>
      </c>
      <c r="C442" s="54" t="s">
        <v>628</v>
      </c>
      <c r="D442" s="127" t="s">
        <v>5683</v>
      </c>
      <c r="E442" s="126">
        <v>43500</v>
      </c>
      <c r="F442" s="126">
        <v>42</v>
      </c>
      <c r="G442" s="126">
        <v>2012</v>
      </c>
      <c r="H442" s="126" t="s">
        <v>630</v>
      </c>
      <c r="I442" s="126" t="s">
        <v>5684</v>
      </c>
      <c r="J442" s="126" t="s">
        <v>5685</v>
      </c>
      <c r="K442" s="126" t="s">
        <v>5686</v>
      </c>
      <c r="L442" s="126" t="s">
        <v>5687</v>
      </c>
      <c r="M442" s="128" t="s">
        <v>5688</v>
      </c>
      <c r="N442" s="126" t="s">
        <v>5562</v>
      </c>
      <c r="O442" s="128" t="s">
        <v>5689</v>
      </c>
      <c r="P442" s="126" t="s">
        <v>5690</v>
      </c>
      <c r="Q442" s="126" t="s">
        <v>5691</v>
      </c>
      <c r="R442" s="126" t="s">
        <v>5692</v>
      </c>
      <c r="S442" s="126">
        <v>3000</v>
      </c>
      <c r="T442" s="126">
        <v>64614</v>
      </c>
      <c r="U442" s="126">
        <v>67614</v>
      </c>
      <c r="V442" s="126" t="s">
        <v>685</v>
      </c>
      <c r="W442" s="129" t="s">
        <v>5693</v>
      </c>
      <c r="X442" t="s">
        <v>5694</v>
      </c>
      <c r="Y442" t="s">
        <v>644</v>
      </c>
      <c r="Z442" t="s">
        <v>645</v>
      </c>
    </row>
    <row r="443" spans="1:26" x14ac:dyDescent="0.3">
      <c r="A443" s="126" t="s">
        <v>5695</v>
      </c>
      <c r="B443" s="126" t="s">
        <v>5555</v>
      </c>
      <c r="C443" s="54" t="s">
        <v>628</v>
      </c>
      <c r="D443" s="127" t="s">
        <v>1243</v>
      </c>
      <c r="E443" s="126">
        <v>66600</v>
      </c>
      <c r="F443" s="126">
        <v>41</v>
      </c>
      <c r="G443" s="126">
        <v>2711</v>
      </c>
      <c r="H443" s="126" t="s">
        <v>630</v>
      </c>
      <c r="I443" s="126" t="s">
        <v>5696</v>
      </c>
      <c r="J443" s="126" t="s">
        <v>5697</v>
      </c>
      <c r="K443" s="126" t="s">
        <v>5698</v>
      </c>
      <c r="L443" s="126" t="s">
        <v>5687</v>
      </c>
      <c r="M443" s="128" t="s">
        <v>5699</v>
      </c>
      <c r="N443" s="126" t="s">
        <v>5562</v>
      </c>
      <c r="O443" s="128" t="s">
        <v>5700</v>
      </c>
      <c r="P443" s="126" t="s">
        <v>5701</v>
      </c>
      <c r="Q443" s="126" t="s">
        <v>5702</v>
      </c>
      <c r="R443" s="126" t="s">
        <v>5703</v>
      </c>
      <c r="S443" s="126">
        <v>3000</v>
      </c>
      <c r="T443" s="126">
        <v>98789</v>
      </c>
      <c r="U443" s="126">
        <v>101789</v>
      </c>
      <c r="V443" s="126" t="s">
        <v>5704</v>
      </c>
      <c r="W443" s="129" t="s">
        <v>5705</v>
      </c>
      <c r="X443" t="s">
        <v>5706</v>
      </c>
      <c r="Y443" t="s">
        <v>644</v>
      </c>
      <c r="Z443" t="s">
        <v>645</v>
      </c>
    </row>
    <row r="444" spans="1:26" x14ac:dyDescent="0.3">
      <c r="A444" s="126" t="s">
        <v>5707</v>
      </c>
      <c r="B444" s="126" t="s">
        <v>5555</v>
      </c>
      <c r="C444" s="54" t="s">
        <v>702</v>
      </c>
      <c r="D444" s="127" t="s">
        <v>5708</v>
      </c>
      <c r="E444" s="126">
        <v>78054</v>
      </c>
      <c r="F444" s="126">
        <v>30</v>
      </c>
      <c r="G444" s="126">
        <v>3728</v>
      </c>
      <c r="H444" s="126" t="s">
        <v>630</v>
      </c>
      <c r="I444" s="126" t="s">
        <v>5709</v>
      </c>
      <c r="J444" s="126" t="s">
        <v>5710</v>
      </c>
      <c r="K444" s="126" t="s">
        <v>5711</v>
      </c>
      <c r="L444" s="126" t="s">
        <v>5575</v>
      </c>
      <c r="M444" s="128" t="s">
        <v>5712</v>
      </c>
      <c r="N444" s="126" t="s">
        <v>5562</v>
      </c>
      <c r="O444" s="128" t="s">
        <v>5713</v>
      </c>
      <c r="P444" s="126" t="s">
        <v>5714</v>
      </c>
      <c r="Q444" s="126" t="s">
        <v>5715</v>
      </c>
      <c r="R444" s="126" t="s">
        <v>5716</v>
      </c>
      <c r="S444" s="126">
        <v>3000</v>
      </c>
      <c r="T444" s="126">
        <v>68465</v>
      </c>
      <c r="U444" s="126">
        <v>71465</v>
      </c>
      <c r="V444" s="126" t="s">
        <v>4570</v>
      </c>
      <c r="W444" s="129" t="s">
        <v>5717</v>
      </c>
      <c r="X444" t="s">
        <v>5718</v>
      </c>
      <c r="Y444" t="s">
        <v>644</v>
      </c>
      <c r="Z444" t="s">
        <v>645</v>
      </c>
    </row>
    <row r="445" spans="1:26" x14ac:dyDescent="0.3">
      <c r="A445" s="126" t="s">
        <v>5719</v>
      </c>
      <c r="B445" s="126" t="s">
        <v>5555</v>
      </c>
      <c r="C445" s="54" t="s">
        <v>1335</v>
      </c>
      <c r="D445" s="127" t="s">
        <v>1487</v>
      </c>
      <c r="E445" s="126">
        <v>77150</v>
      </c>
      <c r="F445" s="126">
        <v>37</v>
      </c>
      <c r="G445" s="126">
        <v>3562</v>
      </c>
      <c r="H445" s="126" t="s">
        <v>630</v>
      </c>
      <c r="I445" s="126" t="s">
        <v>5720</v>
      </c>
      <c r="J445" s="126" t="s">
        <v>5721</v>
      </c>
      <c r="K445" s="126" t="s">
        <v>5722</v>
      </c>
      <c r="L445" s="126" t="s">
        <v>5560</v>
      </c>
      <c r="M445" s="128" t="s">
        <v>5723</v>
      </c>
      <c r="N445" s="126" t="s">
        <v>5562</v>
      </c>
      <c r="O445" s="128" t="s">
        <v>5724</v>
      </c>
      <c r="P445" s="126" t="s">
        <v>5725</v>
      </c>
      <c r="Q445" s="126" t="s">
        <v>5726</v>
      </c>
      <c r="R445" s="126" t="s">
        <v>5727</v>
      </c>
      <c r="S445" s="126">
        <v>3000</v>
      </c>
      <c r="T445" s="126">
        <v>95173</v>
      </c>
      <c r="U445" s="126">
        <v>98173</v>
      </c>
      <c r="V445" s="126" t="s">
        <v>1318</v>
      </c>
      <c r="W445" s="129" t="s">
        <v>5728</v>
      </c>
      <c r="X445" t="s">
        <v>5729</v>
      </c>
      <c r="Y445" t="s">
        <v>644</v>
      </c>
      <c r="Z445" t="s">
        <v>645</v>
      </c>
    </row>
    <row r="446" spans="1:26" x14ac:dyDescent="0.3">
      <c r="A446" s="126" t="s">
        <v>5730</v>
      </c>
      <c r="B446" s="126" t="s">
        <v>5555</v>
      </c>
      <c r="C446" s="54" t="s">
        <v>628</v>
      </c>
      <c r="D446" s="127" t="s">
        <v>5731</v>
      </c>
      <c r="E446" s="126">
        <v>45000</v>
      </c>
      <c r="F446" s="126">
        <v>34</v>
      </c>
      <c r="G446" s="126">
        <v>2082</v>
      </c>
      <c r="H446" s="126" t="s">
        <v>630</v>
      </c>
      <c r="I446" s="126" t="s">
        <v>5732</v>
      </c>
      <c r="J446" s="126" t="s">
        <v>5733</v>
      </c>
      <c r="K446" s="126" t="s">
        <v>5734</v>
      </c>
      <c r="L446" s="126" t="s">
        <v>5624</v>
      </c>
      <c r="M446" s="128" t="s">
        <v>5735</v>
      </c>
      <c r="N446" s="126" t="s">
        <v>5562</v>
      </c>
      <c r="O446" s="128" t="s">
        <v>5736</v>
      </c>
      <c r="P446" s="126" t="s">
        <v>5737</v>
      </c>
      <c r="Q446" s="126" t="s">
        <v>5738</v>
      </c>
      <c r="R446" s="126" t="s">
        <v>5739</v>
      </c>
      <c r="S446" s="126">
        <v>3000</v>
      </c>
      <c r="T446" s="126">
        <v>24135</v>
      </c>
      <c r="U446" s="126">
        <v>27135</v>
      </c>
      <c r="V446" s="126" t="s">
        <v>1005</v>
      </c>
      <c r="W446" s="129" t="s">
        <v>5740</v>
      </c>
      <c r="X446" t="s">
        <v>5741</v>
      </c>
      <c r="Y446" t="s">
        <v>644</v>
      </c>
      <c r="Z446" t="s">
        <v>645</v>
      </c>
    </row>
    <row r="447" spans="1:26" x14ac:dyDescent="0.3">
      <c r="A447" s="126" t="s">
        <v>5742</v>
      </c>
      <c r="B447" s="126" t="s">
        <v>5555</v>
      </c>
      <c r="C447" s="54" t="s">
        <v>702</v>
      </c>
      <c r="D447" s="127" t="s">
        <v>5743</v>
      </c>
      <c r="E447" s="126">
        <v>71000</v>
      </c>
      <c r="F447" s="126">
        <v>43</v>
      </c>
      <c r="G447" s="126">
        <v>3107</v>
      </c>
      <c r="H447" s="126" t="s">
        <v>630</v>
      </c>
      <c r="I447" s="126" t="s">
        <v>5744</v>
      </c>
      <c r="J447" s="126" t="s">
        <v>5745</v>
      </c>
      <c r="K447" s="126" t="s">
        <v>5746</v>
      </c>
      <c r="L447" s="126" t="s">
        <v>5560</v>
      </c>
      <c r="M447" s="128" t="s">
        <v>5723</v>
      </c>
      <c r="N447" s="126" t="s">
        <v>5562</v>
      </c>
      <c r="O447" s="128" t="s">
        <v>5747</v>
      </c>
      <c r="P447" s="126" t="s">
        <v>5748</v>
      </c>
      <c r="Q447" s="126" t="s">
        <v>5749</v>
      </c>
      <c r="R447" s="126" t="s">
        <v>5750</v>
      </c>
      <c r="S447" s="126">
        <v>3000</v>
      </c>
      <c r="T447" s="126">
        <v>38757</v>
      </c>
      <c r="U447" s="126">
        <v>41757</v>
      </c>
      <c r="V447" s="126" t="s">
        <v>857</v>
      </c>
      <c r="W447" s="129" t="s">
        <v>5751</v>
      </c>
      <c r="X447" t="s">
        <v>5752</v>
      </c>
      <c r="Y447" t="s">
        <v>644</v>
      </c>
      <c r="Z447" t="s">
        <v>645</v>
      </c>
    </row>
    <row r="448" spans="1:26" x14ac:dyDescent="0.3">
      <c r="A448" s="126" t="s">
        <v>5753</v>
      </c>
      <c r="B448" s="126" t="s">
        <v>5555</v>
      </c>
      <c r="C448" s="54" t="s">
        <v>702</v>
      </c>
      <c r="D448" s="127" t="s">
        <v>5754</v>
      </c>
      <c r="E448" s="126">
        <v>53444</v>
      </c>
      <c r="F448" s="126">
        <v>24</v>
      </c>
      <c r="G448" s="126">
        <v>2967</v>
      </c>
      <c r="H448" s="126" t="s">
        <v>630</v>
      </c>
      <c r="I448" s="126" t="s">
        <v>5755</v>
      </c>
      <c r="J448" s="126" t="s">
        <v>5756</v>
      </c>
      <c r="K448" s="126" t="s">
        <v>5757</v>
      </c>
      <c r="L448" s="126" t="s">
        <v>5758</v>
      </c>
      <c r="M448" s="128" t="s">
        <v>5759</v>
      </c>
      <c r="N448" s="126" t="s">
        <v>5562</v>
      </c>
      <c r="O448" s="128" t="s">
        <v>5760</v>
      </c>
      <c r="P448" s="126" t="s">
        <v>5761</v>
      </c>
      <c r="Q448" s="126" t="s">
        <v>5762</v>
      </c>
      <c r="R448" s="126" t="s">
        <v>5763</v>
      </c>
      <c r="S448" s="126">
        <v>3000</v>
      </c>
      <c r="T448" s="126">
        <v>59561</v>
      </c>
      <c r="U448" s="126">
        <v>62561</v>
      </c>
      <c r="V448" s="126" t="s">
        <v>1078</v>
      </c>
      <c r="W448" s="129" t="s">
        <v>5764</v>
      </c>
      <c r="X448" t="s">
        <v>5765</v>
      </c>
      <c r="Y448" t="s">
        <v>644</v>
      </c>
      <c r="Z448" t="s">
        <v>645</v>
      </c>
    </row>
    <row r="449" spans="1:26" x14ac:dyDescent="0.3">
      <c r="A449" s="126" t="s">
        <v>5766</v>
      </c>
      <c r="B449" s="126" t="s">
        <v>5555</v>
      </c>
      <c r="C449" s="54" t="s">
        <v>628</v>
      </c>
      <c r="D449" s="127" t="s">
        <v>5767</v>
      </c>
      <c r="E449" s="126">
        <v>60700</v>
      </c>
      <c r="F449" s="126">
        <v>24</v>
      </c>
      <c r="G449" s="126">
        <v>3263</v>
      </c>
      <c r="H449" s="126" t="s">
        <v>630</v>
      </c>
      <c r="I449" s="126" t="s">
        <v>5768</v>
      </c>
      <c r="J449" s="126" t="s">
        <v>5769</v>
      </c>
      <c r="K449" s="126" t="s">
        <v>5770</v>
      </c>
      <c r="L449" s="126" t="s">
        <v>5758</v>
      </c>
      <c r="M449" s="128" t="s">
        <v>5771</v>
      </c>
      <c r="N449" s="126" t="s">
        <v>5562</v>
      </c>
      <c r="O449" s="128" t="s">
        <v>5772</v>
      </c>
      <c r="P449" s="126" t="s">
        <v>5773</v>
      </c>
      <c r="Q449" s="126" t="s">
        <v>5774</v>
      </c>
      <c r="R449" s="126" t="s">
        <v>5775</v>
      </c>
      <c r="S449" s="126">
        <v>3000</v>
      </c>
      <c r="T449" s="126">
        <v>54920</v>
      </c>
      <c r="U449" s="126">
        <v>57920</v>
      </c>
      <c r="V449" s="126" t="s">
        <v>768</v>
      </c>
      <c r="W449" s="129" t="s">
        <v>5776</v>
      </c>
      <c r="X449" t="s">
        <v>5777</v>
      </c>
      <c r="Y449" t="s">
        <v>644</v>
      </c>
      <c r="Z449" t="s">
        <v>645</v>
      </c>
    </row>
    <row r="450" spans="1:26" x14ac:dyDescent="0.3">
      <c r="A450" s="126" t="s">
        <v>5778</v>
      </c>
      <c r="B450" s="126" t="s">
        <v>5555</v>
      </c>
      <c r="C450" s="54" t="s">
        <v>702</v>
      </c>
      <c r="D450" s="127" t="s">
        <v>5779</v>
      </c>
      <c r="E450" s="126">
        <v>113730</v>
      </c>
      <c r="F450" s="126">
        <v>36</v>
      </c>
      <c r="G450" s="126">
        <v>4501</v>
      </c>
      <c r="H450" s="126" t="s">
        <v>630</v>
      </c>
      <c r="I450" s="126" t="s">
        <v>5780</v>
      </c>
      <c r="J450" s="126" t="s">
        <v>5781</v>
      </c>
      <c r="K450" s="126" t="s">
        <v>5782</v>
      </c>
      <c r="L450" s="126" t="s">
        <v>5783</v>
      </c>
      <c r="M450" s="128" t="s">
        <v>5784</v>
      </c>
      <c r="N450" s="126" t="s">
        <v>5562</v>
      </c>
      <c r="O450" s="128" t="s">
        <v>5785</v>
      </c>
      <c r="P450" s="1" t="s">
        <v>682</v>
      </c>
      <c r="Q450" s="126" t="s">
        <v>5786</v>
      </c>
      <c r="R450" s="126" t="s">
        <v>5787</v>
      </c>
      <c r="S450" s="126">
        <v>3000</v>
      </c>
      <c r="T450" s="126">
        <v>159151</v>
      </c>
      <c r="U450" s="126">
        <v>162151</v>
      </c>
      <c r="V450" s="126" t="s">
        <v>1369</v>
      </c>
      <c r="W450" s="129" t="s">
        <v>5788</v>
      </c>
      <c r="X450" t="s">
        <v>5789</v>
      </c>
      <c r="Y450" t="s">
        <v>644</v>
      </c>
      <c r="Z450" t="s">
        <v>645</v>
      </c>
    </row>
    <row r="451" spans="1:26" x14ac:dyDescent="0.3">
      <c r="A451" s="126" t="s">
        <v>5790</v>
      </c>
      <c r="B451" s="126" t="s">
        <v>5555</v>
      </c>
      <c r="C451" s="54" t="s">
        <v>628</v>
      </c>
      <c r="D451" s="127" t="s">
        <v>5791</v>
      </c>
      <c r="E451" s="126">
        <v>55149</v>
      </c>
      <c r="F451" s="126">
        <v>24</v>
      </c>
      <c r="G451" s="126">
        <v>2868</v>
      </c>
      <c r="H451" s="126" t="s">
        <v>630</v>
      </c>
      <c r="I451" s="126" t="s">
        <v>5792</v>
      </c>
      <c r="J451" s="126" t="s">
        <v>5793</v>
      </c>
      <c r="K451" s="126" t="s">
        <v>5794</v>
      </c>
      <c r="L451" s="126" t="s">
        <v>5758</v>
      </c>
      <c r="M451" s="128" t="s">
        <v>5795</v>
      </c>
      <c r="N451" s="126" t="s">
        <v>5562</v>
      </c>
      <c r="O451" s="128" t="s">
        <v>5796</v>
      </c>
      <c r="P451" s="126" t="s">
        <v>5797</v>
      </c>
      <c r="Q451" s="126" t="s">
        <v>5798</v>
      </c>
      <c r="R451" s="126" t="s">
        <v>5799</v>
      </c>
      <c r="S451" s="126">
        <v>3000</v>
      </c>
      <c r="T451" s="126">
        <v>26072</v>
      </c>
      <c r="U451" s="126">
        <v>29072</v>
      </c>
      <c r="V451" s="126" t="s">
        <v>1078</v>
      </c>
      <c r="W451" s="129" t="s">
        <v>5800</v>
      </c>
      <c r="X451" t="s">
        <v>5801</v>
      </c>
      <c r="Y451" t="s">
        <v>644</v>
      </c>
      <c r="Z451" t="s">
        <v>645</v>
      </c>
    </row>
    <row r="452" spans="1:26" x14ac:dyDescent="0.3">
      <c r="A452" s="126" t="s">
        <v>5802</v>
      </c>
      <c r="B452" s="126" t="s">
        <v>5555</v>
      </c>
      <c r="C452" s="54" t="s">
        <v>1335</v>
      </c>
      <c r="D452" s="127" t="s">
        <v>1631</v>
      </c>
      <c r="E452" s="126">
        <v>61999</v>
      </c>
      <c r="F452" s="126">
        <v>34</v>
      </c>
      <c r="G452" s="126">
        <v>2948</v>
      </c>
      <c r="H452" s="126" t="s">
        <v>630</v>
      </c>
      <c r="I452" s="126" t="s">
        <v>5803</v>
      </c>
      <c r="J452" s="126" t="s">
        <v>5804</v>
      </c>
      <c r="K452" s="126" t="s">
        <v>5805</v>
      </c>
      <c r="L452" s="126" t="s">
        <v>5806</v>
      </c>
      <c r="M452" s="128" t="s">
        <v>5807</v>
      </c>
      <c r="N452" s="126" t="s">
        <v>5562</v>
      </c>
      <c r="O452" s="128" t="s">
        <v>5808</v>
      </c>
      <c r="P452" s="126" t="s">
        <v>5809</v>
      </c>
      <c r="Q452" s="126" t="s">
        <v>5810</v>
      </c>
      <c r="R452" s="126" t="s">
        <v>5811</v>
      </c>
      <c r="S452" s="126">
        <v>3000</v>
      </c>
      <c r="T452" s="126">
        <v>35647</v>
      </c>
      <c r="U452" s="126">
        <v>38647</v>
      </c>
      <c r="V452" s="126" t="s">
        <v>1141</v>
      </c>
      <c r="W452" s="129" t="s">
        <v>5812</v>
      </c>
      <c r="X452" t="s">
        <v>5813</v>
      </c>
      <c r="Y452" t="s">
        <v>644</v>
      </c>
      <c r="Z452" t="s">
        <v>645</v>
      </c>
    </row>
    <row r="453" spans="1:26" x14ac:dyDescent="0.3">
      <c r="A453" s="126" t="s">
        <v>5814</v>
      </c>
      <c r="B453" s="126" t="s">
        <v>5555</v>
      </c>
      <c r="C453" s="54" t="s">
        <v>2757</v>
      </c>
      <c r="D453" s="127" t="s">
        <v>5815</v>
      </c>
      <c r="E453" s="126">
        <v>67800</v>
      </c>
      <c r="F453" s="126">
        <v>30</v>
      </c>
      <c r="G453" s="126">
        <v>3036</v>
      </c>
      <c r="H453" s="126" t="s">
        <v>630</v>
      </c>
      <c r="I453" s="126" t="s">
        <v>5816</v>
      </c>
      <c r="J453" s="126" t="s">
        <v>4248</v>
      </c>
      <c r="K453" s="126" t="s">
        <v>5817</v>
      </c>
      <c r="L453" s="126" t="s">
        <v>5783</v>
      </c>
      <c r="M453" s="128" t="s">
        <v>5818</v>
      </c>
      <c r="N453" s="126" t="s">
        <v>5562</v>
      </c>
      <c r="O453" s="128" t="s">
        <v>5819</v>
      </c>
      <c r="P453" s="126" t="s">
        <v>5820</v>
      </c>
      <c r="Q453" s="126" t="s">
        <v>5821</v>
      </c>
      <c r="R453" s="126" t="s">
        <v>5822</v>
      </c>
      <c r="S453" s="126">
        <v>3000</v>
      </c>
      <c r="T453" s="126">
        <v>86381</v>
      </c>
      <c r="U453" s="126">
        <v>89381</v>
      </c>
      <c r="V453" s="126" t="s">
        <v>1345</v>
      </c>
      <c r="W453" s="129" t="s">
        <v>5823</v>
      </c>
      <c r="X453" t="s">
        <v>5824</v>
      </c>
      <c r="Y453" t="s">
        <v>644</v>
      </c>
      <c r="Z453" t="s">
        <v>645</v>
      </c>
    </row>
    <row r="454" spans="1:26" x14ac:dyDescent="0.3">
      <c r="A454" s="126" t="s">
        <v>5825</v>
      </c>
      <c r="B454" s="126" t="s">
        <v>5555</v>
      </c>
      <c r="C454" s="54" t="s">
        <v>628</v>
      </c>
      <c r="D454" s="127" t="s">
        <v>5826</v>
      </c>
      <c r="E454" s="126">
        <v>100649</v>
      </c>
      <c r="F454" s="126">
        <v>41</v>
      </c>
      <c r="G454" s="126">
        <v>4248</v>
      </c>
      <c r="H454" s="126" t="s">
        <v>630</v>
      </c>
      <c r="I454" s="126" t="s">
        <v>5827</v>
      </c>
      <c r="J454" s="126" t="s">
        <v>5828</v>
      </c>
      <c r="K454" s="126" t="s">
        <v>5829</v>
      </c>
      <c r="L454" s="126" t="s">
        <v>5687</v>
      </c>
      <c r="M454" s="128" t="s">
        <v>5830</v>
      </c>
      <c r="N454" s="126" t="s">
        <v>5562</v>
      </c>
      <c r="O454" s="128" t="s">
        <v>5831</v>
      </c>
      <c r="P454" s="126" t="s">
        <v>5832</v>
      </c>
      <c r="Q454" s="126" t="s">
        <v>5833</v>
      </c>
      <c r="R454" s="126" t="s">
        <v>5834</v>
      </c>
      <c r="S454" s="126">
        <v>3000</v>
      </c>
      <c r="T454" s="126">
        <v>108899</v>
      </c>
      <c r="U454" s="126">
        <v>111899</v>
      </c>
      <c r="V454" s="126" t="s">
        <v>1303</v>
      </c>
      <c r="W454" s="129" t="s">
        <v>5835</v>
      </c>
      <c r="X454" t="s">
        <v>5836</v>
      </c>
      <c r="Y454" t="s">
        <v>644</v>
      </c>
      <c r="Z454" t="s">
        <v>645</v>
      </c>
    </row>
    <row r="455" spans="1:26" x14ac:dyDescent="0.3">
      <c r="A455" s="126" t="s">
        <v>5837</v>
      </c>
      <c r="B455" s="126" t="s">
        <v>5555</v>
      </c>
      <c r="C455" s="54" t="s">
        <v>702</v>
      </c>
      <c r="D455" s="127" t="s">
        <v>5838</v>
      </c>
      <c r="E455" s="126">
        <v>65998</v>
      </c>
      <c r="F455" s="126">
        <v>35</v>
      </c>
      <c r="G455" s="126">
        <v>3107</v>
      </c>
      <c r="H455" s="126" t="s">
        <v>630</v>
      </c>
      <c r="I455" s="126" t="s">
        <v>5839</v>
      </c>
      <c r="J455" s="126" t="s">
        <v>5840</v>
      </c>
      <c r="K455" s="126" t="s">
        <v>5841</v>
      </c>
      <c r="L455" s="126" t="s">
        <v>5806</v>
      </c>
      <c r="M455" s="128" t="s">
        <v>5842</v>
      </c>
      <c r="N455" s="126" t="s">
        <v>5562</v>
      </c>
      <c r="O455" s="128" t="s">
        <v>5843</v>
      </c>
      <c r="P455" s="126" t="s">
        <v>5844</v>
      </c>
      <c r="Q455" s="126" t="s">
        <v>5845</v>
      </c>
      <c r="R455" s="126" t="s">
        <v>5846</v>
      </c>
      <c r="S455" s="126">
        <v>3000</v>
      </c>
      <c r="T455" s="126">
        <v>58394</v>
      </c>
      <c r="U455" s="126">
        <v>61394</v>
      </c>
      <c r="V455" s="126" t="s">
        <v>1019</v>
      </c>
      <c r="W455" s="129" t="s">
        <v>5847</v>
      </c>
      <c r="X455" t="s">
        <v>5848</v>
      </c>
      <c r="Y455" t="s">
        <v>644</v>
      </c>
      <c r="Z455" t="s">
        <v>645</v>
      </c>
    </row>
    <row r="456" spans="1:26" x14ac:dyDescent="0.3">
      <c r="A456" s="126" t="s">
        <v>5849</v>
      </c>
      <c r="B456" s="126" t="s">
        <v>5555</v>
      </c>
      <c r="C456" s="1" t="s">
        <v>682</v>
      </c>
      <c r="D456" s="127" t="s">
        <v>5850</v>
      </c>
      <c r="E456" s="126">
        <v>59399</v>
      </c>
      <c r="F456" s="126">
        <v>24</v>
      </c>
      <c r="G456" s="126">
        <v>3337</v>
      </c>
      <c r="H456" s="126" t="s">
        <v>630</v>
      </c>
      <c r="I456" s="126" t="s">
        <v>5851</v>
      </c>
      <c r="J456" s="126" t="s">
        <v>5852</v>
      </c>
      <c r="K456" s="126" t="s">
        <v>5853</v>
      </c>
      <c r="L456" s="126" t="s">
        <v>5806</v>
      </c>
      <c r="M456" s="128" t="s">
        <v>5854</v>
      </c>
      <c r="N456" s="126" t="s">
        <v>5562</v>
      </c>
      <c r="O456" s="128" t="s">
        <v>5855</v>
      </c>
      <c r="P456" s="126" t="s">
        <v>5856</v>
      </c>
      <c r="Q456" s="126" t="s">
        <v>5857</v>
      </c>
      <c r="R456" s="126" t="s">
        <v>5858</v>
      </c>
      <c r="S456" s="126">
        <v>3000</v>
      </c>
      <c r="T456" s="126">
        <v>63250</v>
      </c>
      <c r="U456" s="126">
        <v>66250</v>
      </c>
      <c r="V456" s="126" t="s">
        <v>1078</v>
      </c>
      <c r="W456" s="129" t="s">
        <v>5859</v>
      </c>
      <c r="X456" t="s">
        <v>5860</v>
      </c>
      <c r="Y456" t="s">
        <v>644</v>
      </c>
      <c r="Z456" t="s">
        <v>645</v>
      </c>
    </row>
    <row r="457" spans="1:26" x14ac:dyDescent="0.3">
      <c r="A457" s="126" t="s">
        <v>5861</v>
      </c>
      <c r="B457" s="126" t="s">
        <v>5555</v>
      </c>
      <c r="C457" s="54" t="s">
        <v>628</v>
      </c>
      <c r="D457" s="127" t="s">
        <v>5584</v>
      </c>
      <c r="E457" s="126">
        <v>48274</v>
      </c>
      <c r="F457" s="126">
        <v>18</v>
      </c>
      <c r="G457" s="126">
        <v>3306</v>
      </c>
      <c r="H457" s="126" t="s">
        <v>630</v>
      </c>
      <c r="I457" s="126" t="s">
        <v>5862</v>
      </c>
      <c r="J457" s="126" t="s">
        <v>5863</v>
      </c>
      <c r="K457" s="126" t="s">
        <v>5864</v>
      </c>
      <c r="L457" s="126" t="s">
        <v>5865</v>
      </c>
      <c r="M457" s="128" t="s">
        <v>5866</v>
      </c>
      <c r="N457" s="126" t="s">
        <v>5562</v>
      </c>
      <c r="O457" s="128" t="s">
        <v>5867</v>
      </c>
      <c r="P457" s="126" t="s">
        <v>5868</v>
      </c>
      <c r="Q457" s="126" t="s">
        <v>5869</v>
      </c>
      <c r="R457" s="126" t="s">
        <v>5870</v>
      </c>
      <c r="S457" s="126">
        <v>3000</v>
      </c>
      <c r="T457" s="126">
        <v>31801</v>
      </c>
      <c r="U457" s="126">
        <v>34801</v>
      </c>
      <c r="V457" s="126" t="s">
        <v>1078</v>
      </c>
      <c r="W457" s="129" t="s">
        <v>5871</v>
      </c>
      <c r="X457" t="s">
        <v>5872</v>
      </c>
      <c r="Y457" t="s">
        <v>644</v>
      </c>
      <c r="Z457" t="s">
        <v>645</v>
      </c>
    </row>
    <row r="458" spans="1:26" x14ac:dyDescent="0.3">
      <c r="A458" s="126" t="s">
        <v>5873</v>
      </c>
      <c r="B458" s="126" t="s">
        <v>5555</v>
      </c>
      <c r="C458" s="54" t="s">
        <v>702</v>
      </c>
      <c r="D458" s="127" t="s">
        <v>1547</v>
      </c>
      <c r="E458" s="126">
        <v>77599</v>
      </c>
      <c r="F458" s="126">
        <v>30</v>
      </c>
      <c r="G458" s="126">
        <v>3655</v>
      </c>
      <c r="H458" s="126" t="s">
        <v>630</v>
      </c>
      <c r="I458" s="126" t="s">
        <v>5874</v>
      </c>
      <c r="J458" s="126" t="s">
        <v>5875</v>
      </c>
      <c r="K458" s="126" t="s">
        <v>5876</v>
      </c>
      <c r="L458" s="126" t="s">
        <v>5588</v>
      </c>
      <c r="M458" s="128" t="s">
        <v>5877</v>
      </c>
      <c r="N458" s="126" t="s">
        <v>5562</v>
      </c>
      <c r="O458" s="128" t="s">
        <v>5878</v>
      </c>
      <c r="P458" s="126" t="s">
        <v>5879</v>
      </c>
      <c r="Q458" s="126" t="s">
        <v>5880</v>
      </c>
      <c r="R458" s="126" t="s">
        <v>5881</v>
      </c>
      <c r="S458" s="126">
        <v>3000</v>
      </c>
      <c r="T458" s="126">
        <v>87001</v>
      </c>
      <c r="U458" s="126">
        <v>90001</v>
      </c>
      <c r="V458" s="126" t="s">
        <v>3774</v>
      </c>
      <c r="W458" s="129" t="s">
        <v>5882</v>
      </c>
      <c r="X458" t="s">
        <v>5883</v>
      </c>
      <c r="Y458" t="s">
        <v>644</v>
      </c>
      <c r="Z458" t="s">
        <v>645</v>
      </c>
    </row>
    <row r="459" spans="1:26" x14ac:dyDescent="0.3">
      <c r="A459" s="126" t="s">
        <v>5884</v>
      </c>
      <c r="B459" s="126" t="s">
        <v>5555</v>
      </c>
      <c r="C459" s="54" t="s">
        <v>702</v>
      </c>
      <c r="D459" s="127" t="s">
        <v>5885</v>
      </c>
      <c r="E459" s="126">
        <v>53000</v>
      </c>
      <c r="F459" s="126">
        <v>37</v>
      </c>
      <c r="G459" s="126">
        <v>2377</v>
      </c>
      <c r="H459" s="126" t="s">
        <v>630</v>
      </c>
      <c r="I459" s="126" t="s">
        <v>5886</v>
      </c>
      <c r="J459" s="126" t="s">
        <v>5887</v>
      </c>
      <c r="K459" s="126" t="s">
        <v>5888</v>
      </c>
      <c r="L459" s="126" t="s">
        <v>5889</v>
      </c>
      <c r="M459" s="128" t="s">
        <v>5890</v>
      </c>
      <c r="N459" s="126" t="s">
        <v>5562</v>
      </c>
      <c r="O459" s="128" t="s">
        <v>5891</v>
      </c>
      <c r="P459" s="126" t="s">
        <v>5892</v>
      </c>
      <c r="Q459" s="126" t="s">
        <v>5893</v>
      </c>
      <c r="R459" s="126" t="s">
        <v>5894</v>
      </c>
      <c r="S459" s="126">
        <v>3000</v>
      </c>
      <c r="T459" s="126">
        <v>21809</v>
      </c>
      <c r="U459" s="126">
        <v>24809</v>
      </c>
      <c r="V459" s="126" t="s">
        <v>657</v>
      </c>
      <c r="W459" s="129" t="s">
        <v>5895</v>
      </c>
      <c r="X459" t="s">
        <v>5896</v>
      </c>
      <c r="Y459" t="s">
        <v>644</v>
      </c>
      <c r="Z459" t="s">
        <v>645</v>
      </c>
    </row>
    <row r="460" spans="1:26" x14ac:dyDescent="0.3">
      <c r="A460" s="126" t="s">
        <v>5897</v>
      </c>
      <c r="B460" s="126" t="s">
        <v>5555</v>
      </c>
      <c r="C460" s="54" t="s">
        <v>628</v>
      </c>
      <c r="D460" s="127" t="s">
        <v>5898</v>
      </c>
      <c r="E460" s="126">
        <v>61826</v>
      </c>
      <c r="F460" s="126">
        <v>30</v>
      </c>
      <c r="G460" s="126">
        <v>2958</v>
      </c>
      <c r="H460" s="126" t="s">
        <v>630</v>
      </c>
      <c r="I460" s="126" t="s">
        <v>5899</v>
      </c>
      <c r="J460" s="126" t="s">
        <v>5900</v>
      </c>
      <c r="K460" s="126" t="s">
        <v>5901</v>
      </c>
      <c r="L460" s="126" t="s">
        <v>5902</v>
      </c>
      <c r="M460" s="128" t="s">
        <v>5903</v>
      </c>
      <c r="N460" s="126" t="s">
        <v>5562</v>
      </c>
      <c r="O460" s="128" t="s">
        <v>5904</v>
      </c>
      <c r="P460" s="1" t="s">
        <v>682</v>
      </c>
      <c r="Q460" s="126" t="s">
        <v>5905</v>
      </c>
      <c r="R460" s="126" t="s">
        <v>5906</v>
      </c>
      <c r="S460" s="126">
        <v>3000</v>
      </c>
      <c r="T460" s="126">
        <v>90461</v>
      </c>
      <c r="U460" s="126">
        <v>93461</v>
      </c>
      <c r="V460" s="126" t="s">
        <v>1078</v>
      </c>
      <c r="W460" s="129" t="s">
        <v>5907</v>
      </c>
      <c r="X460" t="s">
        <v>5908</v>
      </c>
      <c r="Y460" t="s">
        <v>644</v>
      </c>
      <c r="Z460" t="s">
        <v>645</v>
      </c>
    </row>
    <row r="461" spans="1:26" x14ac:dyDescent="0.3">
      <c r="A461" s="126" t="s">
        <v>5909</v>
      </c>
      <c r="B461" s="126" t="s">
        <v>5555</v>
      </c>
      <c r="C461" s="1" t="s">
        <v>682</v>
      </c>
      <c r="D461" s="127" t="s">
        <v>5708</v>
      </c>
      <c r="E461" s="126">
        <v>52322</v>
      </c>
      <c r="F461" s="126">
        <v>25</v>
      </c>
      <c r="G461" s="126">
        <v>2723</v>
      </c>
      <c r="H461" s="126" t="s">
        <v>630</v>
      </c>
      <c r="I461" s="126" t="s">
        <v>5910</v>
      </c>
      <c r="J461" s="126" t="s">
        <v>5911</v>
      </c>
      <c r="K461" s="126" t="s">
        <v>5912</v>
      </c>
      <c r="L461" s="126" t="s">
        <v>5575</v>
      </c>
      <c r="M461" s="128" t="s">
        <v>5913</v>
      </c>
      <c r="N461" s="126" t="s">
        <v>5562</v>
      </c>
      <c r="O461" s="128" t="s">
        <v>5914</v>
      </c>
      <c r="P461" s="126" t="s">
        <v>5915</v>
      </c>
      <c r="Q461" s="126" t="s">
        <v>5916</v>
      </c>
      <c r="R461" s="126" t="s">
        <v>5917</v>
      </c>
      <c r="S461" s="126">
        <v>3000</v>
      </c>
      <c r="T461" s="126">
        <v>47353</v>
      </c>
      <c r="U461" s="126">
        <v>50353</v>
      </c>
      <c r="V461" s="126" t="s">
        <v>1078</v>
      </c>
      <c r="W461" s="129" t="s">
        <v>5918</v>
      </c>
      <c r="X461" t="s">
        <v>5919</v>
      </c>
      <c r="Y461" t="s">
        <v>644</v>
      </c>
      <c r="Z461" t="s">
        <v>645</v>
      </c>
    </row>
    <row r="462" spans="1:26" x14ac:dyDescent="0.3">
      <c r="A462" s="126" t="s">
        <v>5920</v>
      </c>
      <c r="B462" s="126" t="s">
        <v>5555</v>
      </c>
      <c r="C462" s="54" t="s">
        <v>702</v>
      </c>
      <c r="D462" s="127" t="s">
        <v>5921</v>
      </c>
      <c r="E462" s="126">
        <v>76474</v>
      </c>
      <c r="F462" s="126">
        <v>30</v>
      </c>
      <c r="G462" s="126">
        <v>3608</v>
      </c>
      <c r="H462" s="126" t="s">
        <v>630</v>
      </c>
      <c r="I462" s="126" t="s">
        <v>5922</v>
      </c>
      <c r="J462" s="126" t="s">
        <v>5923</v>
      </c>
      <c r="K462" s="126" t="s">
        <v>5924</v>
      </c>
      <c r="L462" s="126" t="s">
        <v>5575</v>
      </c>
      <c r="M462" s="128" t="s">
        <v>5925</v>
      </c>
      <c r="N462" s="126" t="s">
        <v>5562</v>
      </c>
      <c r="O462" s="128" t="s">
        <v>5926</v>
      </c>
      <c r="P462" s="126" t="s">
        <v>5927</v>
      </c>
      <c r="Q462" s="126" t="s">
        <v>5928</v>
      </c>
      <c r="R462" s="126" t="s">
        <v>5929</v>
      </c>
      <c r="S462" s="126">
        <v>3000</v>
      </c>
      <c r="T462" s="126">
        <v>79721</v>
      </c>
      <c r="U462" s="126">
        <v>82721</v>
      </c>
      <c r="V462" s="126" t="s">
        <v>2392</v>
      </c>
      <c r="W462" s="129" t="s">
        <v>5930</v>
      </c>
      <c r="X462" t="s">
        <v>5931</v>
      </c>
      <c r="Y462" t="s">
        <v>644</v>
      </c>
      <c r="Z462" t="s">
        <v>645</v>
      </c>
    </row>
    <row r="463" spans="1:26" x14ac:dyDescent="0.3">
      <c r="A463" s="126" t="s">
        <v>5932</v>
      </c>
      <c r="B463" s="126" t="s">
        <v>5555</v>
      </c>
      <c r="C463" s="54" t="s">
        <v>702</v>
      </c>
      <c r="D463" s="127" t="s">
        <v>5933</v>
      </c>
      <c r="E463" s="126">
        <v>34140</v>
      </c>
      <c r="F463" s="126">
        <v>30</v>
      </c>
      <c r="G463" s="126">
        <v>1714</v>
      </c>
      <c r="H463" s="126" t="s">
        <v>630</v>
      </c>
      <c r="I463" s="126" t="s">
        <v>5934</v>
      </c>
      <c r="J463" s="126" t="s">
        <v>5935</v>
      </c>
      <c r="K463" s="126" t="s">
        <v>5936</v>
      </c>
      <c r="L463" s="126" t="s">
        <v>5588</v>
      </c>
      <c r="M463" s="128" t="s">
        <v>5937</v>
      </c>
      <c r="N463" s="126" t="s">
        <v>5562</v>
      </c>
      <c r="O463" s="128" t="s">
        <v>5938</v>
      </c>
      <c r="P463" s="126" t="s">
        <v>5939</v>
      </c>
      <c r="Q463" s="126" t="s">
        <v>5940</v>
      </c>
      <c r="R463" s="126" t="s">
        <v>5941</v>
      </c>
      <c r="S463" s="126">
        <v>3000</v>
      </c>
      <c r="T463" s="126">
        <v>11572</v>
      </c>
      <c r="U463" s="126">
        <v>14572</v>
      </c>
      <c r="V463" s="126" t="s">
        <v>685</v>
      </c>
      <c r="W463" s="129" t="s">
        <v>5942</v>
      </c>
      <c r="X463" t="s">
        <v>5943</v>
      </c>
      <c r="Y463" t="s">
        <v>644</v>
      </c>
      <c r="Z463" t="s">
        <v>645</v>
      </c>
    </row>
    <row r="464" spans="1:26" x14ac:dyDescent="0.3">
      <c r="A464" s="126" t="s">
        <v>5944</v>
      </c>
      <c r="B464" s="126" t="s">
        <v>5555</v>
      </c>
      <c r="C464" s="54" t="s">
        <v>628</v>
      </c>
      <c r="D464" s="127" t="s">
        <v>1692</v>
      </c>
      <c r="E464" s="126">
        <v>49588</v>
      </c>
      <c r="F464" s="126">
        <v>29</v>
      </c>
      <c r="G464" s="126">
        <v>2841</v>
      </c>
      <c r="H464" s="126" t="s">
        <v>630</v>
      </c>
      <c r="I464" s="126" t="s">
        <v>5945</v>
      </c>
      <c r="J464" s="126" t="s">
        <v>5946</v>
      </c>
      <c r="K464" s="126" t="s">
        <v>5947</v>
      </c>
      <c r="L464" s="126" t="s">
        <v>5806</v>
      </c>
      <c r="M464" s="128" t="s">
        <v>5948</v>
      </c>
      <c r="N464" s="126" t="s">
        <v>5562</v>
      </c>
      <c r="O464" s="128" t="s">
        <v>5949</v>
      </c>
      <c r="P464" s="126" t="s">
        <v>5950</v>
      </c>
      <c r="Q464" s="126" t="s">
        <v>5951</v>
      </c>
      <c r="R464" s="126" t="s">
        <v>5952</v>
      </c>
      <c r="S464" s="126">
        <v>3000</v>
      </c>
      <c r="T464" s="126">
        <v>31449</v>
      </c>
      <c r="U464" s="126">
        <v>34449</v>
      </c>
      <c r="V464" s="126" t="s">
        <v>1005</v>
      </c>
      <c r="W464" s="129" t="s">
        <v>5953</v>
      </c>
      <c r="X464" t="s">
        <v>5954</v>
      </c>
      <c r="Y464" t="s">
        <v>644</v>
      </c>
      <c r="Z464" t="s">
        <v>645</v>
      </c>
    </row>
    <row r="465" spans="1:26" x14ac:dyDescent="0.3">
      <c r="A465" s="126" t="s">
        <v>5955</v>
      </c>
      <c r="B465" s="126" t="s">
        <v>5555</v>
      </c>
      <c r="C465" s="54" t="s">
        <v>1335</v>
      </c>
      <c r="D465" s="127" t="s">
        <v>5956</v>
      </c>
      <c r="E465" s="126">
        <v>69799</v>
      </c>
      <c r="F465" s="126">
        <v>41</v>
      </c>
      <c r="G465" s="126">
        <v>2812</v>
      </c>
      <c r="H465" s="126" t="s">
        <v>630</v>
      </c>
      <c r="I465" s="126" t="s">
        <v>5957</v>
      </c>
      <c r="J465" s="126" t="s">
        <v>5958</v>
      </c>
      <c r="K465" s="126" t="s">
        <v>5959</v>
      </c>
      <c r="L465" s="126" t="s">
        <v>5687</v>
      </c>
      <c r="M465" s="128" t="s">
        <v>5960</v>
      </c>
      <c r="N465" s="126" t="s">
        <v>5562</v>
      </c>
      <c r="O465" s="128" t="s">
        <v>5961</v>
      </c>
      <c r="P465" s="126" t="s">
        <v>5962</v>
      </c>
      <c r="Q465" s="126" t="s">
        <v>5963</v>
      </c>
      <c r="R465" s="126" t="s">
        <v>5964</v>
      </c>
      <c r="S465" s="126">
        <v>3000</v>
      </c>
      <c r="T465" s="126">
        <v>70618</v>
      </c>
      <c r="U465" s="126">
        <v>73618</v>
      </c>
      <c r="V465" s="126" t="s">
        <v>2753</v>
      </c>
      <c r="W465" s="129" t="s">
        <v>5965</v>
      </c>
      <c r="X465" t="s">
        <v>5966</v>
      </c>
      <c r="Y465" t="s">
        <v>644</v>
      </c>
      <c r="Z465" t="s">
        <v>645</v>
      </c>
    </row>
    <row r="466" spans="1:26" x14ac:dyDescent="0.3">
      <c r="A466" s="126" t="s">
        <v>5967</v>
      </c>
      <c r="B466" s="126" t="s">
        <v>5968</v>
      </c>
      <c r="C466" s="54" t="s">
        <v>702</v>
      </c>
      <c r="D466" s="127" t="s">
        <v>5969</v>
      </c>
      <c r="E466" s="126">
        <v>64031</v>
      </c>
      <c r="F466" s="126">
        <v>36</v>
      </c>
      <c r="G466" s="126">
        <v>3279</v>
      </c>
      <c r="H466" s="126" t="s">
        <v>630</v>
      </c>
      <c r="I466" s="126" t="s">
        <v>5970</v>
      </c>
      <c r="J466" s="126" t="s">
        <v>5971</v>
      </c>
      <c r="K466" s="126" t="s">
        <v>5972</v>
      </c>
      <c r="L466" s="126" t="s">
        <v>5973</v>
      </c>
      <c r="M466" s="128" t="s">
        <v>5974</v>
      </c>
      <c r="N466" s="126" t="s">
        <v>5562</v>
      </c>
      <c r="O466" s="128" t="s">
        <v>5975</v>
      </c>
      <c r="P466" s="126" t="s">
        <v>5976</v>
      </c>
      <c r="Q466" s="126" t="s">
        <v>5977</v>
      </c>
      <c r="R466" s="126" t="s">
        <v>5978</v>
      </c>
      <c r="S466" s="126">
        <v>3000</v>
      </c>
      <c r="T466" s="126">
        <v>50178</v>
      </c>
      <c r="U466" s="126">
        <v>53178</v>
      </c>
      <c r="V466" s="126" t="s">
        <v>657</v>
      </c>
      <c r="W466" s="129" t="s">
        <v>5979</v>
      </c>
      <c r="X466" t="s">
        <v>5980</v>
      </c>
      <c r="Y466" t="s">
        <v>644</v>
      </c>
      <c r="Z466" t="s">
        <v>645</v>
      </c>
    </row>
    <row r="467" spans="1:26" x14ac:dyDescent="0.3">
      <c r="A467" s="126" t="s">
        <v>5981</v>
      </c>
      <c r="B467" s="126" t="s">
        <v>5555</v>
      </c>
      <c r="C467" s="54" t="s">
        <v>661</v>
      </c>
      <c r="D467" s="127" t="s">
        <v>1450</v>
      </c>
      <c r="E467" s="126">
        <v>49604</v>
      </c>
      <c r="F467" s="126">
        <v>30</v>
      </c>
      <c r="G467" s="126">
        <v>2332</v>
      </c>
      <c r="H467" s="126" t="s">
        <v>630</v>
      </c>
      <c r="I467" s="126" t="s">
        <v>5982</v>
      </c>
      <c r="J467" s="126" t="s">
        <v>5983</v>
      </c>
      <c r="K467" s="126" t="s">
        <v>5984</v>
      </c>
      <c r="L467" s="126" t="s">
        <v>5985</v>
      </c>
      <c r="M467" s="128" t="s">
        <v>5986</v>
      </c>
      <c r="N467" s="126" t="s">
        <v>5562</v>
      </c>
      <c r="O467" s="128" t="s">
        <v>5987</v>
      </c>
      <c r="P467" s="126" t="s">
        <v>5988</v>
      </c>
      <c r="Q467" s="126" t="s">
        <v>5989</v>
      </c>
      <c r="R467" s="126" t="s">
        <v>5990</v>
      </c>
      <c r="S467" s="126">
        <v>3000</v>
      </c>
      <c r="T467" s="126">
        <v>33498</v>
      </c>
      <c r="U467" s="126">
        <v>36498</v>
      </c>
      <c r="V467" s="126" t="s">
        <v>1078</v>
      </c>
      <c r="W467" s="129" t="s">
        <v>5991</v>
      </c>
      <c r="X467" t="s">
        <v>5992</v>
      </c>
      <c r="Y467" t="s">
        <v>644</v>
      </c>
      <c r="Z467" t="s">
        <v>645</v>
      </c>
    </row>
    <row r="468" spans="1:26" x14ac:dyDescent="0.3">
      <c r="A468" s="126" t="s">
        <v>5993</v>
      </c>
      <c r="B468" s="126" t="s">
        <v>5968</v>
      </c>
      <c r="C468" s="54" t="s">
        <v>661</v>
      </c>
      <c r="D468" s="127" t="s">
        <v>5994</v>
      </c>
      <c r="E468" s="126">
        <v>60968</v>
      </c>
      <c r="F468" s="126">
        <v>30</v>
      </c>
      <c r="G468" s="126">
        <v>2805</v>
      </c>
      <c r="H468" s="126" t="s">
        <v>630</v>
      </c>
      <c r="I468" s="126" t="s">
        <v>5995</v>
      </c>
      <c r="J468" s="126" t="s">
        <v>5996</v>
      </c>
      <c r="K468" s="126" t="s">
        <v>5997</v>
      </c>
      <c r="L468" s="126" t="s">
        <v>5973</v>
      </c>
      <c r="M468" s="128" t="s">
        <v>5974</v>
      </c>
      <c r="N468" s="126" t="s">
        <v>5562</v>
      </c>
      <c r="O468" s="128" t="s">
        <v>5998</v>
      </c>
      <c r="P468" s="126" t="s">
        <v>5999</v>
      </c>
      <c r="Q468" s="126" t="s">
        <v>6000</v>
      </c>
      <c r="R468" s="126" t="s">
        <v>6001</v>
      </c>
      <c r="S468" s="126">
        <v>3000</v>
      </c>
      <c r="T468" s="126">
        <v>58041</v>
      </c>
      <c r="U468" s="126">
        <v>61041</v>
      </c>
      <c r="V468" s="126" t="s">
        <v>3650</v>
      </c>
      <c r="W468" s="129" t="s">
        <v>6002</v>
      </c>
      <c r="X468" t="s">
        <v>6003</v>
      </c>
      <c r="Y468" t="s">
        <v>644</v>
      </c>
      <c r="Z468" t="s">
        <v>645</v>
      </c>
    </row>
    <row r="469" spans="1:26" x14ac:dyDescent="0.3">
      <c r="A469" s="126" t="s">
        <v>6004</v>
      </c>
      <c r="B469" s="126" t="s">
        <v>5968</v>
      </c>
      <c r="C469" s="54" t="s">
        <v>661</v>
      </c>
      <c r="D469" s="127" t="s">
        <v>940</v>
      </c>
      <c r="E469" s="126">
        <v>64210</v>
      </c>
      <c r="F469" s="126">
        <v>28</v>
      </c>
      <c r="G469" s="126">
        <v>3388</v>
      </c>
      <c r="H469" s="126" t="s">
        <v>630</v>
      </c>
      <c r="I469" s="126" t="s">
        <v>6005</v>
      </c>
      <c r="J469" s="126" t="s">
        <v>6006</v>
      </c>
      <c r="K469" s="126" t="s">
        <v>6007</v>
      </c>
      <c r="L469" s="126" t="s">
        <v>6008</v>
      </c>
      <c r="M469" s="128" t="s">
        <v>6009</v>
      </c>
      <c r="N469" s="126" t="s">
        <v>5562</v>
      </c>
      <c r="O469" s="128" t="s">
        <v>6010</v>
      </c>
      <c r="P469" s="126" t="s">
        <v>6011</v>
      </c>
      <c r="Q469" s="126" t="s">
        <v>6012</v>
      </c>
      <c r="R469" s="126" t="s">
        <v>6013</v>
      </c>
      <c r="S469" s="126">
        <v>3000</v>
      </c>
      <c r="T469" s="126">
        <v>42977</v>
      </c>
      <c r="U469" s="126">
        <v>45977</v>
      </c>
      <c r="V469" s="126" t="s">
        <v>698</v>
      </c>
      <c r="W469" s="129" t="s">
        <v>6014</v>
      </c>
      <c r="X469" t="s">
        <v>6015</v>
      </c>
      <c r="Y469" t="s">
        <v>644</v>
      </c>
      <c r="Z469" t="s">
        <v>645</v>
      </c>
    </row>
    <row r="470" spans="1:26" x14ac:dyDescent="0.3">
      <c r="A470" s="126" t="s">
        <v>6016</v>
      </c>
      <c r="B470" s="126" t="s">
        <v>5555</v>
      </c>
      <c r="C470" s="1" t="s">
        <v>682</v>
      </c>
      <c r="D470" s="127" t="s">
        <v>6017</v>
      </c>
      <c r="E470" s="126">
        <v>55950</v>
      </c>
      <c r="F470" s="126">
        <v>24</v>
      </c>
      <c r="G470" s="126">
        <v>2938</v>
      </c>
      <c r="H470" s="126" t="s">
        <v>630</v>
      </c>
      <c r="I470" s="126" t="s">
        <v>6018</v>
      </c>
      <c r="J470" s="126" t="s">
        <v>6019</v>
      </c>
      <c r="K470" s="126" t="s">
        <v>6020</v>
      </c>
      <c r="L470" s="126" t="s">
        <v>6021</v>
      </c>
      <c r="M470" s="128" t="s">
        <v>6022</v>
      </c>
      <c r="N470" s="126" t="s">
        <v>5562</v>
      </c>
      <c r="O470" s="128" t="s">
        <v>6023</v>
      </c>
      <c r="P470" s="126" t="s">
        <v>6024</v>
      </c>
      <c r="Q470" s="126" t="s">
        <v>6025</v>
      </c>
      <c r="R470" s="126" t="s">
        <v>6026</v>
      </c>
      <c r="S470" s="126">
        <v>3000</v>
      </c>
      <c r="T470" s="126">
        <v>65050</v>
      </c>
      <c r="U470" s="126">
        <v>68050</v>
      </c>
      <c r="V470" s="126" t="s">
        <v>1078</v>
      </c>
      <c r="W470" s="129" t="s">
        <v>6027</v>
      </c>
      <c r="X470" t="s">
        <v>6028</v>
      </c>
      <c r="Y470" t="s">
        <v>644</v>
      </c>
      <c r="Z470" t="s">
        <v>645</v>
      </c>
    </row>
    <row r="471" spans="1:26" x14ac:dyDescent="0.3">
      <c r="A471" s="126" t="s">
        <v>6029</v>
      </c>
      <c r="B471" s="126" t="s">
        <v>5555</v>
      </c>
      <c r="C471" s="54" t="s">
        <v>702</v>
      </c>
      <c r="D471" s="127" t="s">
        <v>6030</v>
      </c>
      <c r="E471" s="126">
        <v>61547</v>
      </c>
      <c r="F471" s="126">
        <v>35</v>
      </c>
      <c r="G471" s="126">
        <v>2919</v>
      </c>
      <c r="H471" s="126" t="s">
        <v>630</v>
      </c>
      <c r="I471" s="126" t="s">
        <v>6031</v>
      </c>
      <c r="J471" s="126" t="s">
        <v>6032</v>
      </c>
      <c r="K471" s="126" t="s">
        <v>6033</v>
      </c>
      <c r="L471" s="126" t="s">
        <v>6021</v>
      </c>
      <c r="M471" s="128" t="s">
        <v>6034</v>
      </c>
      <c r="N471" s="126" t="s">
        <v>5562</v>
      </c>
      <c r="O471" s="128" t="s">
        <v>6035</v>
      </c>
      <c r="P471" s="126" t="s">
        <v>6036</v>
      </c>
      <c r="Q471" s="126" t="s">
        <v>6037</v>
      </c>
      <c r="R471" s="126" t="s">
        <v>6038</v>
      </c>
      <c r="S471" s="126">
        <v>3000</v>
      </c>
      <c r="T471" s="126">
        <v>36341</v>
      </c>
      <c r="U471" s="126">
        <v>39341</v>
      </c>
      <c r="V471" s="126" t="s">
        <v>1019</v>
      </c>
      <c r="W471" s="129" t="s">
        <v>6039</v>
      </c>
      <c r="X471" t="s">
        <v>6040</v>
      </c>
      <c r="Y471" t="s">
        <v>644</v>
      </c>
      <c r="Z471" t="s">
        <v>645</v>
      </c>
    </row>
    <row r="472" spans="1:26" x14ac:dyDescent="0.3">
      <c r="A472" s="126" t="s">
        <v>6041</v>
      </c>
      <c r="B472" s="126" t="s">
        <v>5968</v>
      </c>
      <c r="C472" s="54" t="s">
        <v>661</v>
      </c>
      <c r="D472" s="127" t="s">
        <v>4013</v>
      </c>
      <c r="E472" s="126">
        <v>68510</v>
      </c>
      <c r="F472" s="126">
        <v>24</v>
      </c>
      <c r="G472" s="126">
        <v>3740</v>
      </c>
      <c r="H472" s="126" t="s">
        <v>630</v>
      </c>
      <c r="I472" s="126" t="s">
        <v>6042</v>
      </c>
      <c r="J472" s="126" t="s">
        <v>6043</v>
      </c>
      <c r="K472" s="126" t="s">
        <v>6044</v>
      </c>
      <c r="L472" s="126" t="s">
        <v>6045</v>
      </c>
      <c r="M472" s="128" t="s">
        <v>6046</v>
      </c>
      <c r="N472" s="126" t="s">
        <v>5562</v>
      </c>
      <c r="O472" s="128" t="s">
        <v>6047</v>
      </c>
      <c r="P472" s="126" t="s">
        <v>6048</v>
      </c>
      <c r="Q472" s="126" t="s">
        <v>6049</v>
      </c>
      <c r="R472" s="126" t="s">
        <v>6050</v>
      </c>
      <c r="S472" s="126">
        <v>3000</v>
      </c>
      <c r="T472" s="126">
        <v>79633</v>
      </c>
      <c r="U472" s="126">
        <v>82633</v>
      </c>
      <c r="V472" s="126" t="s">
        <v>768</v>
      </c>
      <c r="W472" s="129" t="s">
        <v>6051</v>
      </c>
      <c r="X472" t="s">
        <v>6052</v>
      </c>
      <c r="Y472" t="s">
        <v>644</v>
      </c>
      <c r="Z472" t="s">
        <v>645</v>
      </c>
    </row>
    <row r="473" spans="1:26" x14ac:dyDescent="0.3">
      <c r="A473" s="126" t="s">
        <v>6053</v>
      </c>
      <c r="B473" s="126" t="s">
        <v>5555</v>
      </c>
      <c r="C473" s="54" t="s">
        <v>661</v>
      </c>
      <c r="D473" s="127" t="s">
        <v>5838</v>
      </c>
      <c r="E473" s="126">
        <v>59579</v>
      </c>
      <c r="F473" s="126">
        <v>30</v>
      </c>
      <c r="G473" s="126">
        <v>2682</v>
      </c>
      <c r="H473" s="126" t="s">
        <v>630</v>
      </c>
      <c r="I473" s="126" t="s">
        <v>6054</v>
      </c>
      <c r="J473" s="126" t="s">
        <v>6055</v>
      </c>
      <c r="K473" s="126" t="s">
        <v>6056</v>
      </c>
      <c r="L473" s="126" t="s">
        <v>5985</v>
      </c>
      <c r="M473" s="128" t="s">
        <v>6057</v>
      </c>
      <c r="N473" s="126" t="s">
        <v>5562</v>
      </c>
      <c r="O473" s="128" t="s">
        <v>6058</v>
      </c>
      <c r="P473" s="126" t="s">
        <v>6059</v>
      </c>
      <c r="Q473" s="126" t="s">
        <v>6060</v>
      </c>
      <c r="R473" s="126" t="s">
        <v>6061</v>
      </c>
      <c r="S473" s="126">
        <v>3000</v>
      </c>
      <c r="T473" s="126">
        <v>27035</v>
      </c>
      <c r="U473" s="126">
        <v>30035</v>
      </c>
      <c r="V473" s="126" t="s">
        <v>1105</v>
      </c>
      <c r="W473" s="129" t="s">
        <v>6062</v>
      </c>
      <c r="X473" t="s">
        <v>6063</v>
      </c>
      <c r="Y473" t="s">
        <v>644</v>
      </c>
      <c r="Z473" t="s">
        <v>645</v>
      </c>
    </row>
    <row r="474" spans="1:26" x14ac:dyDescent="0.3">
      <c r="A474" s="126" t="s">
        <v>6064</v>
      </c>
      <c r="B474" s="126" t="s">
        <v>5555</v>
      </c>
      <c r="C474" s="54" t="s">
        <v>661</v>
      </c>
      <c r="D474" s="127" t="s">
        <v>4639</v>
      </c>
      <c r="E474" s="126">
        <v>60000</v>
      </c>
      <c r="F474" s="126">
        <v>25</v>
      </c>
      <c r="G474" s="126">
        <v>2968</v>
      </c>
      <c r="H474" s="126" t="s">
        <v>630</v>
      </c>
      <c r="I474" s="126" t="s">
        <v>6065</v>
      </c>
      <c r="J474" s="126" t="s">
        <v>6066</v>
      </c>
      <c r="K474" s="126" t="s">
        <v>6067</v>
      </c>
      <c r="L474" s="126" t="s">
        <v>5889</v>
      </c>
      <c r="M474" s="128" t="s">
        <v>6068</v>
      </c>
      <c r="N474" s="126" t="s">
        <v>5562</v>
      </c>
      <c r="O474" s="128" t="s">
        <v>6069</v>
      </c>
      <c r="P474" s="126" t="s">
        <v>6070</v>
      </c>
      <c r="Q474" s="126" t="s">
        <v>6071</v>
      </c>
      <c r="R474" s="126" t="s">
        <v>6072</v>
      </c>
      <c r="S474" s="126">
        <v>3000</v>
      </c>
      <c r="T474" s="126">
        <v>87600</v>
      </c>
      <c r="U474" s="126">
        <v>90600</v>
      </c>
      <c r="V474" s="126" t="s">
        <v>6073</v>
      </c>
      <c r="W474" s="129" t="s">
        <v>6074</v>
      </c>
      <c r="X474" t="s">
        <v>6075</v>
      </c>
      <c r="Y474" t="s">
        <v>644</v>
      </c>
      <c r="Z474" t="s">
        <v>645</v>
      </c>
    </row>
    <row r="475" spans="1:26" x14ac:dyDescent="0.3">
      <c r="A475" s="126" t="s">
        <v>6076</v>
      </c>
      <c r="B475" s="126" t="s">
        <v>5555</v>
      </c>
      <c r="C475" s="54" t="s">
        <v>661</v>
      </c>
      <c r="D475" s="127" t="s">
        <v>6077</v>
      </c>
      <c r="E475" s="126">
        <v>79900</v>
      </c>
      <c r="F475" s="126">
        <v>27</v>
      </c>
      <c r="G475" s="126">
        <v>4192</v>
      </c>
      <c r="H475" s="126" t="s">
        <v>630</v>
      </c>
      <c r="I475" s="126" t="s">
        <v>6078</v>
      </c>
      <c r="J475" s="126" t="s">
        <v>6079</v>
      </c>
      <c r="K475" s="126" t="s">
        <v>6080</v>
      </c>
      <c r="L475" s="126" t="s">
        <v>5612</v>
      </c>
      <c r="M475" s="128" t="s">
        <v>6081</v>
      </c>
      <c r="N475" s="126" t="s">
        <v>5562</v>
      </c>
      <c r="O475" s="128" t="s">
        <v>6082</v>
      </c>
      <c r="P475" s="126" t="s">
        <v>6083</v>
      </c>
      <c r="Q475" s="126" t="s">
        <v>6084</v>
      </c>
      <c r="R475" s="126" t="s">
        <v>6085</v>
      </c>
      <c r="S475" s="126">
        <v>3000</v>
      </c>
      <c r="T475" s="126">
        <v>34628</v>
      </c>
      <c r="U475" s="126">
        <v>37628</v>
      </c>
      <c r="V475" s="126" t="s">
        <v>3797</v>
      </c>
      <c r="W475" s="129" t="s">
        <v>6086</v>
      </c>
      <c r="X475" t="s">
        <v>6087</v>
      </c>
      <c r="Y475" t="s">
        <v>644</v>
      </c>
      <c r="Z475" t="s">
        <v>645</v>
      </c>
    </row>
    <row r="476" spans="1:26" x14ac:dyDescent="0.3">
      <c r="A476" s="126" t="s">
        <v>6088</v>
      </c>
      <c r="B476" s="126" t="s">
        <v>5555</v>
      </c>
      <c r="C476" s="54" t="s">
        <v>661</v>
      </c>
      <c r="D476" s="127" t="s">
        <v>4794</v>
      </c>
      <c r="E476" s="126">
        <v>58000</v>
      </c>
      <c r="F476" s="126">
        <v>40</v>
      </c>
      <c r="G476" s="126">
        <v>2667</v>
      </c>
      <c r="H476" s="126" t="s">
        <v>630</v>
      </c>
      <c r="I476" s="126" t="s">
        <v>6089</v>
      </c>
      <c r="J476" s="126" t="s">
        <v>6090</v>
      </c>
      <c r="K476" s="126" t="s">
        <v>6091</v>
      </c>
      <c r="L476" s="126" t="s">
        <v>5889</v>
      </c>
      <c r="M476" s="128" t="s">
        <v>6092</v>
      </c>
      <c r="N476" s="126" t="s">
        <v>5562</v>
      </c>
      <c r="O476" s="128" t="s">
        <v>6093</v>
      </c>
      <c r="P476" s="126" t="s">
        <v>6094</v>
      </c>
      <c r="Q476" s="126" t="s">
        <v>6095</v>
      </c>
      <c r="R476" s="126" t="s">
        <v>6096</v>
      </c>
      <c r="S476" s="126">
        <v>3000</v>
      </c>
      <c r="T476" s="126">
        <v>54595</v>
      </c>
      <c r="U476" s="126">
        <v>57595</v>
      </c>
      <c r="V476" s="126" t="s">
        <v>657</v>
      </c>
      <c r="W476" s="129" t="s">
        <v>6097</v>
      </c>
      <c r="X476" t="s">
        <v>6098</v>
      </c>
      <c r="Y476" t="s">
        <v>644</v>
      </c>
      <c r="Z476" t="s">
        <v>645</v>
      </c>
    </row>
    <row r="477" spans="1:26" x14ac:dyDescent="0.3">
      <c r="A477" s="126" t="s">
        <v>6099</v>
      </c>
      <c r="B477" s="126" t="s">
        <v>5968</v>
      </c>
      <c r="C477" s="54" t="s">
        <v>661</v>
      </c>
      <c r="D477" s="127" t="s">
        <v>6100</v>
      </c>
      <c r="E477" s="126">
        <v>56000</v>
      </c>
      <c r="F477" s="126">
        <v>24</v>
      </c>
      <c r="G477" s="126">
        <v>3033</v>
      </c>
      <c r="H477" s="126" t="s">
        <v>630</v>
      </c>
      <c r="I477" s="126" t="s">
        <v>6101</v>
      </c>
      <c r="J477" s="126" t="s">
        <v>6102</v>
      </c>
      <c r="K477" s="126" t="s">
        <v>6103</v>
      </c>
      <c r="L477" s="126" t="s">
        <v>6045</v>
      </c>
      <c r="M477" s="128" t="s">
        <v>6104</v>
      </c>
      <c r="N477" s="126" t="s">
        <v>5562</v>
      </c>
      <c r="O477" s="128" t="s">
        <v>6105</v>
      </c>
      <c r="P477" s="126" t="s">
        <v>6106</v>
      </c>
      <c r="Q477" s="126" t="s">
        <v>6107</v>
      </c>
      <c r="R477" s="126" t="s">
        <v>6108</v>
      </c>
      <c r="S477" s="126">
        <v>3000</v>
      </c>
      <c r="T477" s="126">
        <v>47249</v>
      </c>
      <c r="U477" s="126">
        <v>50249</v>
      </c>
      <c r="V477" s="126" t="s">
        <v>1078</v>
      </c>
      <c r="W477" s="129" t="s">
        <v>6109</v>
      </c>
      <c r="X477" t="s">
        <v>6110</v>
      </c>
      <c r="Y477" t="s">
        <v>644</v>
      </c>
      <c r="Z477" t="s">
        <v>645</v>
      </c>
    </row>
    <row r="478" spans="1:26" x14ac:dyDescent="0.3">
      <c r="A478" s="126" t="s">
        <v>6111</v>
      </c>
      <c r="B478" s="126" t="s">
        <v>5555</v>
      </c>
      <c r="C478" s="54" t="s">
        <v>661</v>
      </c>
      <c r="D478" s="127" t="s">
        <v>6112</v>
      </c>
      <c r="E478" s="126">
        <v>42500</v>
      </c>
      <c r="F478" s="126">
        <v>36</v>
      </c>
      <c r="G478" s="126">
        <v>2423</v>
      </c>
      <c r="H478" s="126" t="s">
        <v>630</v>
      </c>
      <c r="I478" s="126" t="s">
        <v>6113</v>
      </c>
      <c r="J478" s="126" t="s">
        <v>5958</v>
      </c>
      <c r="K478" s="126" t="s">
        <v>6114</v>
      </c>
      <c r="L478" s="126" t="s">
        <v>6115</v>
      </c>
      <c r="M478" s="128" t="s">
        <v>6116</v>
      </c>
      <c r="N478" s="126" t="s">
        <v>5562</v>
      </c>
      <c r="O478" s="128" t="s">
        <v>6117</v>
      </c>
      <c r="P478" s="126" t="s">
        <v>6118</v>
      </c>
      <c r="Q478" s="126" t="s">
        <v>6119</v>
      </c>
      <c r="R478" s="126" t="s">
        <v>6120</v>
      </c>
      <c r="S478" s="126">
        <v>3000</v>
      </c>
      <c r="T478" s="126">
        <v>58817</v>
      </c>
      <c r="U478" s="126">
        <v>61817</v>
      </c>
      <c r="V478" s="126" t="s">
        <v>685</v>
      </c>
      <c r="W478" s="129" t="s">
        <v>6121</v>
      </c>
      <c r="X478" t="s">
        <v>6122</v>
      </c>
      <c r="Y478" t="s">
        <v>644</v>
      </c>
      <c r="Z478" t="s">
        <v>645</v>
      </c>
    </row>
    <row r="479" spans="1:26" x14ac:dyDescent="0.3">
      <c r="A479" s="126" t="s">
        <v>6123</v>
      </c>
      <c r="B479" s="126" t="s">
        <v>5555</v>
      </c>
      <c r="C479" s="54" t="s">
        <v>661</v>
      </c>
      <c r="D479" s="127" t="s">
        <v>6124</v>
      </c>
      <c r="E479" s="126">
        <v>36500</v>
      </c>
      <c r="F479" s="126">
        <v>24</v>
      </c>
      <c r="G479" s="126">
        <v>2209</v>
      </c>
      <c r="H479" s="126" t="s">
        <v>630</v>
      </c>
      <c r="I479" s="126" t="s">
        <v>6125</v>
      </c>
      <c r="J479" s="126" t="s">
        <v>6126</v>
      </c>
      <c r="K479" s="126" t="s">
        <v>6127</v>
      </c>
      <c r="L479" s="126" t="s">
        <v>5985</v>
      </c>
      <c r="M479" s="128" t="s">
        <v>6128</v>
      </c>
      <c r="N479" s="126" t="s">
        <v>5562</v>
      </c>
      <c r="O479" s="128" t="s">
        <v>6129</v>
      </c>
      <c r="P479" s="126" t="s">
        <v>6130</v>
      </c>
      <c r="Q479" s="126" t="s">
        <v>6131</v>
      </c>
      <c r="R479" s="126" t="s">
        <v>6132</v>
      </c>
      <c r="S479" s="126">
        <v>3000</v>
      </c>
      <c r="T479" s="126">
        <v>5882</v>
      </c>
      <c r="U479" s="126">
        <v>8882</v>
      </c>
      <c r="V479" s="126" t="s">
        <v>685</v>
      </c>
      <c r="W479" s="129" t="s">
        <v>6133</v>
      </c>
      <c r="X479" t="s">
        <v>6134</v>
      </c>
      <c r="Y479" t="s">
        <v>644</v>
      </c>
      <c r="Z479" t="s">
        <v>645</v>
      </c>
    </row>
    <row r="480" spans="1:26" x14ac:dyDescent="0.3">
      <c r="A480" s="126" t="s">
        <v>6135</v>
      </c>
      <c r="B480" s="126" t="s">
        <v>5968</v>
      </c>
      <c r="C480" s="54" t="s">
        <v>661</v>
      </c>
      <c r="D480" s="127" t="s">
        <v>2206</v>
      </c>
      <c r="E480" s="126">
        <v>74724</v>
      </c>
      <c r="F480" s="126">
        <v>24</v>
      </c>
      <c r="G480" s="126">
        <v>4017</v>
      </c>
      <c r="H480" s="126" t="s">
        <v>630</v>
      </c>
      <c r="I480" s="126" t="s">
        <v>6136</v>
      </c>
      <c r="J480" s="126" t="s">
        <v>6137</v>
      </c>
      <c r="K480" s="126" t="s">
        <v>6138</v>
      </c>
      <c r="L480" s="126" t="s">
        <v>6045</v>
      </c>
      <c r="M480" s="128" t="s">
        <v>6139</v>
      </c>
      <c r="N480" s="126" t="s">
        <v>5562</v>
      </c>
      <c r="O480" s="128" t="s">
        <v>6140</v>
      </c>
      <c r="P480" s="126" t="s">
        <v>6141</v>
      </c>
      <c r="Q480" s="126" t="s">
        <v>6142</v>
      </c>
      <c r="R480" s="126" t="s">
        <v>6143</v>
      </c>
      <c r="S480" s="126">
        <v>3000</v>
      </c>
      <c r="T480" s="126">
        <v>58648</v>
      </c>
      <c r="U480" s="126">
        <v>61648</v>
      </c>
      <c r="V480" s="126" t="s">
        <v>978</v>
      </c>
      <c r="W480" s="129" t="s">
        <v>6144</v>
      </c>
      <c r="X480" t="s">
        <v>6145</v>
      </c>
      <c r="Y480" t="s">
        <v>644</v>
      </c>
      <c r="Z480" t="s">
        <v>645</v>
      </c>
    </row>
    <row r="481" spans="1:26" x14ac:dyDescent="0.3">
      <c r="A481" s="126" t="s">
        <v>6146</v>
      </c>
      <c r="B481" s="126" t="s">
        <v>5555</v>
      </c>
      <c r="C481" s="54" t="s">
        <v>702</v>
      </c>
      <c r="D481" s="127" t="s">
        <v>2279</v>
      </c>
      <c r="E481" s="126">
        <v>56580</v>
      </c>
      <c r="F481" s="126">
        <v>25</v>
      </c>
      <c r="G481" s="126">
        <v>2973</v>
      </c>
      <c r="H481" s="126" t="s">
        <v>630</v>
      </c>
      <c r="I481" s="126" t="s">
        <v>6147</v>
      </c>
      <c r="J481" s="126" t="s">
        <v>6148</v>
      </c>
      <c r="K481" s="126" t="s">
        <v>6149</v>
      </c>
      <c r="L481" s="126" t="s">
        <v>5806</v>
      </c>
      <c r="M481" s="128" t="s">
        <v>6150</v>
      </c>
      <c r="N481" s="126" t="s">
        <v>5562</v>
      </c>
      <c r="O481" s="128" t="s">
        <v>6151</v>
      </c>
      <c r="P481" s="126" t="s">
        <v>6152</v>
      </c>
      <c r="Q481" s="126" t="s">
        <v>6153</v>
      </c>
      <c r="R481" s="126" t="s">
        <v>6154</v>
      </c>
      <c r="S481" s="126">
        <v>3000</v>
      </c>
      <c r="T481" s="126">
        <v>40854</v>
      </c>
      <c r="U481" s="126">
        <v>43854</v>
      </c>
      <c r="V481" s="126" t="s">
        <v>1078</v>
      </c>
      <c r="W481" s="129" t="s">
        <v>6155</v>
      </c>
      <c r="X481" t="s">
        <v>6156</v>
      </c>
      <c r="Y481" t="s">
        <v>644</v>
      </c>
      <c r="Z481" t="s">
        <v>645</v>
      </c>
    </row>
    <row r="482" spans="1:26" x14ac:dyDescent="0.3">
      <c r="A482" s="126" t="s">
        <v>6157</v>
      </c>
      <c r="B482" s="126" t="s">
        <v>5555</v>
      </c>
      <c r="C482" s="54" t="s">
        <v>661</v>
      </c>
      <c r="D482" s="127" t="s">
        <v>5544</v>
      </c>
      <c r="E482" s="126">
        <v>65600</v>
      </c>
      <c r="F482" s="126">
        <v>30</v>
      </c>
      <c r="G482" s="126">
        <v>3133</v>
      </c>
      <c r="H482" s="126" t="s">
        <v>630</v>
      </c>
      <c r="I482" s="126" t="s">
        <v>6158</v>
      </c>
      <c r="J482" s="126" t="s">
        <v>6159</v>
      </c>
      <c r="K482" s="126" t="s">
        <v>6160</v>
      </c>
      <c r="L482" s="126" t="s">
        <v>5783</v>
      </c>
      <c r="M482" s="128" t="s">
        <v>6161</v>
      </c>
      <c r="N482" s="126" t="s">
        <v>5562</v>
      </c>
      <c r="O482" s="128" t="s">
        <v>6162</v>
      </c>
      <c r="P482" s="126" t="s">
        <v>6163</v>
      </c>
      <c r="Q482" s="126" t="s">
        <v>6164</v>
      </c>
      <c r="R482" s="126" t="s">
        <v>6165</v>
      </c>
      <c r="S482" s="126">
        <v>3000</v>
      </c>
      <c r="T482" s="126">
        <v>70726</v>
      </c>
      <c r="U482" s="126">
        <v>73726</v>
      </c>
      <c r="V482" s="126" t="s">
        <v>1345</v>
      </c>
      <c r="W482" s="129" t="s">
        <v>6166</v>
      </c>
      <c r="X482" t="s">
        <v>6167</v>
      </c>
      <c r="Y482" t="s">
        <v>644</v>
      </c>
      <c r="Z482" t="s">
        <v>645</v>
      </c>
    </row>
    <row r="483" spans="1:26" x14ac:dyDescent="0.3">
      <c r="A483" s="126" t="s">
        <v>6168</v>
      </c>
      <c r="B483" s="126" t="s">
        <v>5555</v>
      </c>
      <c r="C483" s="54" t="s">
        <v>702</v>
      </c>
      <c r="D483" s="127" t="s">
        <v>6169</v>
      </c>
      <c r="E483" s="126">
        <v>43000</v>
      </c>
      <c r="F483" s="126">
        <v>27</v>
      </c>
      <c r="G483" s="126">
        <v>2616</v>
      </c>
      <c r="H483" s="126" t="s">
        <v>630</v>
      </c>
      <c r="I483" s="126" t="s">
        <v>6170</v>
      </c>
      <c r="J483" s="126" t="s">
        <v>5769</v>
      </c>
      <c r="K483" s="126" t="s">
        <v>6171</v>
      </c>
      <c r="L483" s="1"/>
      <c r="M483" s="128" t="s">
        <v>6172</v>
      </c>
      <c r="N483" s="126" t="s">
        <v>5562</v>
      </c>
      <c r="O483" s="128" t="s">
        <v>6173</v>
      </c>
      <c r="P483" s="1" t="s">
        <v>682</v>
      </c>
      <c r="Q483" s="126" t="s">
        <v>6174</v>
      </c>
      <c r="R483" s="126" t="s">
        <v>6175</v>
      </c>
      <c r="S483" s="126">
        <v>3000</v>
      </c>
      <c r="T483" s="126">
        <v>52434</v>
      </c>
      <c r="U483" s="126">
        <v>55434</v>
      </c>
      <c r="V483" s="126" t="s">
        <v>6176</v>
      </c>
      <c r="W483" s="129" t="s">
        <v>6177</v>
      </c>
      <c r="X483" t="s">
        <v>6178</v>
      </c>
      <c r="Y483" t="s">
        <v>644</v>
      </c>
      <c r="Z483" t="s">
        <v>645</v>
      </c>
    </row>
    <row r="484" spans="1:26" x14ac:dyDescent="0.3">
      <c r="A484" s="126" t="s">
        <v>6179</v>
      </c>
      <c r="B484" s="126" t="s">
        <v>5555</v>
      </c>
      <c r="C484" s="54" t="s">
        <v>661</v>
      </c>
      <c r="D484" s="127" t="s">
        <v>4027</v>
      </c>
      <c r="E484" s="126">
        <v>69573</v>
      </c>
      <c r="F484" s="126">
        <v>30</v>
      </c>
      <c r="G484" s="126">
        <v>3279</v>
      </c>
      <c r="H484" s="126" t="s">
        <v>630</v>
      </c>
      <c r="I484" s="126" t="s">
        <v>6180</v>
      </c>
      <c r="J484" s="126" t="s">
        <v>6181</v>
      </c>
      <c r="K484" s="126" t="s">
        <v>6182</v>
      </c>
      <c r="L484" s="126" t="s">
        <v>5575</v>
      </c>
      <c r="M484" s="128" t="s">
        <v>6183</v>
      </c>
      <c r="N484" s="126" t="s">
        <v>5562</v>
      </c>
      <c r="O484" s="128" t="s">
        <v>6184</v>
      </c>
      <c r="P484" s="126" t="s">
        <v>6185</v>
      </c>
      <c r="Q484" s="126" t="s">
        <v>6186</v>
      </c>
      <c r="R484" s="126" t="s">
        <v>6187</v>
      </c>
      <c r="S484" s="126">
        <v>3000</v>
      </c>
      <c r="T484" s="126">
        <v>52545</v>
      </c>
      <c r="U484" s="126">
        <v>55545</v>
      </c>
      <c r="V484" s="126" t="s">
        <v>2312</v>
      </c>
      <c r="W484" s="129" t="s">
        <v>6188</v>
      </c>
      <c r="X484" t="s">
        <v>6189</v>
      </c>
      <c r="Y484" t="s">
        <v>644</v>
      </c>
      <c r="Z484" t="s">
        <v>645</v>
      </c>
    </row>
    <row r="485" spans="1:26" x14ac:dyDescent="0.3">
      <c r="A485" s="126" t="s">
        <v>6190</v>
      </c>
      <c r="B485" s="126" t="s">
        <v>5555</v>
      </c>
      <c r="C485" s="54" t="s">
        <v>661</v>
      </c>
      <c r="D485" s="127" t="s">
        <v>6191</v>
      </c>
      <c r="E485" s="126">
        <v>48400</v>
      </c>
      <c r="F485" s="126">
        <v>24</v>
      </c>
      <c r="G485" s="126">
        <v>2675</v>
      </c>
      <c r="H485" s="126" t="s">
        <v>630</v>
      </c>
      <c r="I485" s="126" t="s">
        <v>6192</v>
      </c>
      <c r="J485" s="126" t="s">
        <v>6193</v>
      </c>
      <c r="K485" s="126" t="s">
        <v>6194</v>
      </c>
      <c r="L485" s="126" t="s">
        <v>6115</v>
      </c>
      <c r="M485" s="128" t="s">
        <v>6195</v>
      </c>
      <c r="N485" s="126" t="s">
        <v>5562</v>
      </c>
      <c r="O485" s="128" t="s">
        <v>6196</v>
      </c>
      <c r="P485" s="126" t="s">
        <v>6197</v>
      </c>
      <c r="Q485" s="126" t="s">
        <v>6198</v>
      </c>
      <c r="R485" s="126" t="s">
        <v>6199</v>
      </c>
      <c r="S485" s="126">
        <v>3000</v>
      </c>
      <c r="T485" s="126">
        <v>39460</v>
      </c>
      <c r="U485" s="126">
        <v>42460</v>
      </c>
      <c r="V485" s="126" t="s">
        <v>1078</v>
      </c>
      <c r="W485" s="129" t="s">
        <v>6200</v>
      </c>
      <c r="X485" t="s">
        <v>6201</v>
      </c>
      <c r="Y485" t="s">
        <v>644</v>
      </c>
      <c r="Z485" t="s">
        <v>645</v>
      </c>
    </row>
    <row r="486" spans="1:26" x14ac:dyDescent="0.3">
      <c r="A486" s="126" t="s">
        <v>6202</v>
      </c>
      <c r="B486" s="126" t="s">
        <v>5555</v>
      </c>
      <c r="C486" s="54" t="s">
        <v>661</v>
      </c>
      <c r="D486" s="127" t="s">
        <v>6203</v>
      </c>
      <c r="E486" s="126">
        <v>59500</v>
      </c>
      <c r="F486" s="126">
        <v>28</v>
      </c>
      <c r="G486" s="126">
        <v>3137</v>
      </c>
      <c r="H486" s="126" t="s">
        <v>630</v>
      </c>
      <c r="I486" s="126" t="s">
        <v>6204</v>
      </c>
      <c r="J486" s="126" t="s">
        <v>6205</v>
      </c>
      <c r="K486" s="126" t="s">
        <v>6206</v>
      </c>
      <c r="L486" s="126" t="s">
        <v>6207</v>
      </c>
      <c r="M486" s="128" t="s">
        <v>6208</v>
      </c>
      <c r="N486" s="126" t="s">
        <v>5562</v>
      </c>
      <c r="O486" s="128" t="s">
        <v>6209</v>
      </c>
      <c r="P486" s="126" t="s">
        <v>6210</v>
      </c>
      <c r="Q486" s="126" t="s">
        <v>6211</v>
      </c>
      <c r="R486" s="126" t="s">
        <v>6212</v>
      </c>
      <c r="S486" s="126">
        <v>3000</v>
      </c>
      <c r="T486" s="126">
        <v>31930</v>
      </c>
      <c r="U486" s="126">
        <v>34930</v>
      </c>
      <c r="V486" s="126" t="s">
        <v>857</v>
      </c>
      <c r="W486" s="129" t="s">
        <v>6213</v>
      </c>
      <c r="X486" t="s">
        <v>6214</v>
      </c>
      <c r="Y486" t="s">
        <v>644</v>
      </c>
      <c r="Z486" t="s">
        <v>645</v>
      </c>
    </row>
    <row r="487" spans="1:26" x14ac:dyDescent="0.3">
      <c r="A487" s="126" t="s">
        <v>6215</v>
      </c>
      <c r="B487" s="126" t="s">
        <v>5555</v>
      </c>
      <c r="C487" s="54" t="s">
        <v>702</v>
      </c>
      <c r="D487" s="127" t="s">
        <v>1866</v>
      </c>
      <c r="E487" s="126">
        <v>44650</v>
      </c>
      <c r="F487" s="126">
        <v>28</v>
      </c>
      <c r="G487" s="126">
        <v>2371</v>
      </c>
      <c r="H487" s="126" t="s">
        <v>630</v>
      </c>
      <c r="I487" s="126" t="s">
        <v>6216</v>
      </c>
      <c r="J487" s="126" t="s">
        <v>6217</v>
      </c>
      <c r="K487" s="126" t="s">
        <v>6218</v>
      </c>
      <c r="L487" s="126" t="s">
        <v>6219</v>
      </c>
      <c r="M487" s="128" t="s">
        <v>6220</v>
      </c>
      <c r="N487" s="126" t="s">
        <v>5562</v>
      </c>
      <c r="O487" s="128" t="s">
        <v>6221</v>
      </c>
      <c r="P487" s="126" t="s">
        <v>6222</v>
      </c>
      <c r="Q487" s="126" t="s">
        <v>6223</v>
      </c>
      <c r="R487" s="126" t="s">
        <v>6224</v>
      </c>
      <c r="S487" s="126">
        <v>3000</v>
      </c>
      <c r="T487" s="126">
        <v>9630</v>
      </c>
      <c r="U487" s="126">
        <v>12630</v>
      </c>
      <c r="V487" s="126" t="s">
        <v>1005</v>
      </c>
      <c r="W487" s="129" t="s">
        <v>6225</v>
      </c>
      <c r="X487" t="s">
        <v>6226</v>
      </c>
      <c r="Y487" t="s">
        <v>644</v>
      </c>
      <c r="Z487" t="s">
        <v>645</v>
      </c>
    </row>
    <row r="488" spans="1:26" x14ac:dyDescent="0.3">
      <c r="A488" s="126" t="s">
        <v>6227</v>
      </c>
      <c r="B488" s="126" t="s">
        <v>5555</v>
      </c>
      <c r="C488" s="54" t="s">
        <v>661</v>
      </c>
      <c r="D488" s="127" t="s">
        <v>2123</v>
      </c>
      <c r="E488" s="126">
        <v>404250</v>
      </c>
      <c r="F488" s="126">
        <v>48</v>
      </c>
      <c r="G488" s="126">
        <v>12087</v>
      </c>
      <c r="H488" s="126" t="s">
        <v>630</v>
      </c>
      <c r="I488" s="126" t="s">
        <v>6228</v>
      </c>
      <c r="J488" s="126" t="s">
        <v>6229</v>
      </c>
      <c r="K488" s="126" t="s">
        <v>6230</v>
      </c>
      <c r="L488" s="126" t="s">
        <v>6219</v>
      </c>
      <c r="M488" s="128" t="s">
        <v>6231</v>
      </c>
      <c r="N488" s="126" t="s">
        <v>5562</v>
      </c>
      <c r="O488" s="128" t="s">
        <v>6232</v>
      </c>
      <c r="P488" s="126" t="s">
        <v>6233</v>
      </c>
      <c r="Q488" s="126" t="s">
        <v>6234</v>
      </c>
      <c r="R488" s="126" t="s">
        <v>6235</v>
      </c>
      <c r="S488" s="126">
        <v>15000</v>
      </c>
      <c r="T488" s="126">
        <v>499741</v>
      </c>
      <c r="U488" s="126">
        <v>514741</v>
      </c>
      <c r="V488" s="126" t="s">
        <v>6236</v>
      </c>
      <c r="W488" s="129" t="s">
        <v>6237</v>
      </c>
      <c r="X488" t="s">
        <v>6238</v>
      </c>
      <c r="Y488" t="s">
        <v>644</v>
      </c>
      <c r="Z488" t="s">
        <v>645</v>
      </c>
    </row>
    <row r="489" spans="1:26" x14ac:dyDescent="0.3">
      <c r="A489" s="126" t="s">
        <v>6239</v>
      </c>
      <c r="B489" s="126" t="s">
        <v>5555</v>
      </c>
      <c r="C489" s="54" t="s">
        <v>661</v>
      </c>
      <c r="D489" s="127" t="s">
        <v>6240</v>
      </c>
      <c r="E489" s="126">
        <v>409250</v>
      </c>
      <c r="F489" s="126">
        <v>48</v>
      </c>
      <c r="G489" s="126">
        <v>12240</v>
      </c>
      <c r="H489" s="126" t="s">
        <v>630</v>
      </c>
      <c r="I489" s="126" t="s">
        <v>6241</v>
      </c>
      <c r="J489" s="126" t="s">
        <v>6242</v>
      </c>
      <c r="K489" s="126" t="s">
        <v>6243</v>
      </c>
      <c r="L489" s="126" t="s">
        <v>6244</v>
      </c>
      <c r="M489" s="128" t="s">
        <v>6245</v>
      </c>
      <c r="N489" s="126" t="s">
        <v>5562</v>
      </c>
      <c r="O489" s="128" t="s">
        <v>6246</v>
      </c>
      <c r="P489" s="126" t="s">
        <v>6247</v>
      </c>
      <c r="Q489" s="126" t="s">
        <v>6248</v>
      </c>
      <c r="R489" s="126" t="s">
        <v>6249</v>
      </c>
      <c r="S489" s="126">
        <v>15000</v>
      </c>
      <c r="T489" s="126">
        <v>503436</v>
      </c>
      <c r="U489" s="126">
        <v>518436</v>
      </c>
      <c r="V489" s="126" t="s">
        <v>6250</v>
      </c>
      <c r="W489" s="129" t="s">
        <v>6251</v>
      </c>
      <c r="X489" t="s">
        <v>6252</v>
      </c>
      <c r="Y489" t="s">
        <v>644</v>
      </c>
      <c r="Z489" t="s">
        <v>645</v>
      </c>
    </row>
    <row r="490" spans="1:26" x14ac:dyDescent="0.3">
      <c r="A490" s="126" t="s">
        <v>6253</v>
      </c>
      <c r="B490" s="126" t="s">
        <v>5555</v>
      </c>
      <c r="C490" s="54" t="s">
        <v>661</v>
      </c>
      <c r="D490" s="127" t="s">
        <v>2218</v>
      </c>
      <c r="E490" s="126">
        <v>510250</v>
      </c>
      <c r="F490" s="126">
        <v>65</v>
      </c>
      <c r="G490" s="126">
        <v>13522</v>
      </c>
      <c r="H490" s="126" t="s">
        <v>630</v>
      </c>
      <c r="I490" s="126" t="s">
        <v>6254</v>
      </c>
      <c r="J490" s="126" t="s">
        <v>6255</v>
      </c>
      <c r="K490" s="126" t="s">
        <v>6256</v>
      </c>
      <c r="L490" s="126" t="s">
        <v>5783</v>
      </c>
      <c r="M490" s="128" t="s">
        <v>6257</v>
      </c>
      <c r="N490" s="126" t="s">
        <v>5562</v>
      </c>
      <c r="O490" s="128" t="s">
        <v>6258</v>
      </c>
      <c r="P490" s="126" t="s">
        <v>6259</v>
      </c>
      <c r="Q490" s="126" t="s">
        <v>6260</v>
      </c>
      <c r="R490" s="126" t="s">
        <v>6261</v>
      </c>
      <c r="S490" s="126">
        <v>15000</v>
      </c>
      <c r="T490" s="126">
        <v>644180</v>
      </c>
      <c r="U490" s="126">
        <v>659180</v>
      </c>
      <c r="V490" s="126" t="s">
        <v>6262</v>
      </c>
      <c r="W490" s="129" t="s">
        <v>6263</v>
      </c>
      <c r="X490" t="s">
        <v>6264</v>
      </c>
      <c r="Y490" t="s">
        <v>644</v>
      </c>
      <c r="Z490" t="s">
        <v>645</v>
      </c>
    </row>
    <row r="491" spans="1:26" x14ac:dyDescent="0.3">
      <c r="A491" s="1" t="s">
        <v>6265</v>
      </c>
      <c r="B491" s="126" t="s">
        <v>5555</v>
      </c>
      <c r="C491" s="54" t="s">
        <v>1335</v>
      </c>
      <c r="D491" s="127" t="s">
        <v>3123</v>
      </c>
      <c r="E491" s="1">
        <v>95899</v>
      </c>
      <c r="F491" s="1">
        <v>31</v>
      </c>
      <c r="G491" s="1">
        <v>4089</v>
      </c>
      <c r="H491" s="1" t="s">
        <v>630</v>
      </c>
      <c r="I491" s="1" t="s">
        <v>6266</v>
      </c>
      <c r="J491" s="1" t="s">
        <v>6267</v>
      </c>
      <c r="K491" s="126" t="s">
        <v>6268</v>
      </c>
      <c r="L491" s="1" t="s">
        <v>5889</v>
      </c>
      <c r="M491" s="131">
        <v>600066</v>
      </c>
      <c r="N491" s="126" t="s">
        <v>5562</v>
      </c>
      <c r="O491" s="131">
        <v>7550285029</v>
      </c>
      <c r="P491" s="1" t="s">
        <v>6269</v>
      </c>
      <c r="Q491" s="1" t="s">
        <v>6270</v>
      </c>
      <c r="R491" s="1" t="s">
        <v>6271</v>
      </c>
      <c r="S491" s="1">
        <v>3000</v>
      </c>
      <c r="T491" s="1">
        <v>118009</v>
      </c>
      <c r="U491" s="1">
        <v>121009</v>
      </c>
      <c r="V491" s="1" t="s">
        <v>3774</v>
      </c>
      <c r="W491" s="129" t="s">
        <v>6272</v>
      </c>
      <c r="X491" t="s">
        <v>6273</v>
      </c>
      <c r="Y491" t="s">
        <v>644</v>
      </c>
      <c r="Z491" t="s">
        <v>645</v>
      </c>
    </row>
    <row r="492" spans="1:26" x14ac:dyDescent="0.3">
      <c r="A492" s="1" t="s">
        <v>6274</v>
      </c>
      <c r="B492" s="126" t="s">
        <v>5555</v>
      </c>
      <c r="C492" s="54" t="s">
        <v>1335</v>
      </c>
      <c r="D492" s="127" t="s">
        <v>6275</v>
      </c>
      <c r="E492" s="1">
        <v>54599</v>
      </c>
      <c r="F492" s="1">
        <v>39</v>
      </c>
      <c r="G492" s="1">
        <v>2694</v>
      </c>
      <c r="H492" s="1" t="s">
        <v>630</v>
      </c>
      <c r="I492" s="1" t="s">
        <v>6276</v>
      </c>
      <c r="J492" s="1" t="s">
        <v>6277</v>
      </c>
      <c r="K492" s="126" t="s">
        <v>6278</v>
      </c>
      <c r="L492" s="1" t="s">
        <v>6279</v>
      </c>
      <c r="M492" s="131">
        <v>623526</v>
      </c>
      <c r="N492" s="126" t="s">
        <v>5562</v>
      </c>
      <c r="O492" s="131">
        <v>9786871662</v>
      </c>
      <c r="P492" s="1" t="s">
        <v>6280</v>
      </c>
      <c r="Q492" s="1" t="s">
        <v>6281</v>
      </c>
      <c r="R492" s="1" t="s">
        <v>6282</v>
      </c>
      <c r="S492" s="1">
        <v>3000</v>
      </c>
      <c r="T492" s="1">
        <v>40852</v>
      </c>
      <c r="U492" s="1">
        <v>43852</v>
      </c>
      <c r="V492" s="1" t="s">
        <v>6176</v>
      </c>
      <c r="W492" s="129" t="s">
        <v>6283</v>
      </c>
      <c r="X492" t="s">
        <v>6284</v>
      </c>
      <c r="Y492" t="s">
        <v>644</v>
      </c>
      <c r="Z492" t="s">
        <v>645</v>
      </c>
    </row>
    <row r="493" spans="1:26" x14ac:dyDescent="0.3">
      <c r="A493" s="1" t="s">
        <v>6285</v>
      </c>
      <c r="B493" s="126" t="s">
        <v>5555</v>
      </c>
      <c r="C493" s="54" t="s">
        <v>2544</v>
      </c>
      <c r="D493" s="127" t="s">
        <v>6286</v>
      </c>
      <c r="E493" s="1">
        <v>49400</v>
      </c>
      <c r="F493" s="1">
        <v>48</v>
      </c>
      <c r="G493" s="1">
        <v>2118</v>
      </c>
      <c r="H493" s="1" t="s">
        <v>630</v>
      </c>
      <c r="I493" s="1" t="s">
        <v>6287</v>
      </c>
      <c r="J493" s="1" t="s">
        <v>6288</v>
      </c>
      <c r="K493" s="126" t="s">
        <v>6289</v>
      </c>
      <c r="L493" s="1" t="s">
        <v>5783</v>
      </c>
      <c r="M493" s="131">
        <v>636008</v>
      </c>
      <c r="N493" s="126" t="s">
        <v>5562</v>
      </c>
      <c r="O493" s="131">
        <v>9629023459</v>
      </c>
      <c r="P493" s="1" t="s">
        <v>6290</v>
      </c>
      <c r="Q493" s="1" t="s">
        <v>6291</v>
      </c>
      <c r="R493" s="1" t="s">
        <v>6292</v>
      </c>
      <c r="S493" s="1">
        <v>3000</v>
      </c>
      <c r="T493" s="1">
        <v>37502</v>
      </c>
      <c r="U493" s="1">
        <v>40502</v>
      </c>
      <c r="V493" s="1" t="s">
        <v>4899</v>
      </c>
      <c r="W493" s="129" t="s">
        <v>6293</v>
      </c>
      <c r="X493" t="s">
        <v>6294</v>
      </c>
      <c r="Y493" t="s">
        <v>644</v>
      </c>
      <c r="Z493" t="s">
        <v>645</v>
      </c>
    </row>
    <row r="494" spans="1:26" x14ac:dyDescent="0.3">
      <c r="A494" s="1" t="s">
        <v>6295</v>
      </c>
      <c r="B494" s="126" t="s">
        <v>5555</v>
      </c>
      <c r="C494" s="54" t="s">
        <v>2483</v>
      </c>
      <c r="D494" s="127" t="s">
        <v>6296</v>
      </c>
      <c r="E494" s="1">
        <v>59234</v>
      </c>
      <c r="F494" s="1">
        <v>24</v>
      </c>
      <c r="G494" s="1">
        <v>3125</v>
      </c>
      <c r="H494" s="1" t="s">
        <v>630</v>
      </c>
      <c r="I494" s="1" t="s">
        <v>6297</v>
      </c>
      <c r="J494" s="1" t="s">
        <v>6298</v>
      </c>
      <c r="K494" s="126" t="s">
        <v>6299</v>
      </c>
      <c r="L494" s="1" t="s">
        <v>5985</v>
      </c>
      <c r="M494" s="131">
        <v>609401</v>
      </c>
      <c r="N494" s="126" t="s">
        <v>5562</v>
      </c>
      <c r="O494" s="131">
        <v>7639759863</v>
      </c>
      <c r="P494" s="1" t="s">
        <v>6300</v>
      </c>
      <c r="Q494" s="1" t="s">
        <v>6301</v>
      </c>
      <c r="R494" s="1" t="s">
        <v>6302</v>
      </c>
      <c r="S494" s="1">
        <v>3000</v>
      </c>
      <c r="T494" s="1">
        <v>26949</v>
      </c>
      <c r="U494" s="1">
        <v>29949</v>
      </c>
      <c r="V494" s="1" t="s">
        <v>2392</v>
      </c>
      <c r="W494" s="129" t="s">
        <v>6303</v>
      </c>
      <c r="X494" t="s">
        <v>6304</v>
      </c>
      <c r="Y494" t="s">
        <v>644</v>
      </c>
      <c r="Z494" t="s">
        <v>645</v>
      </c>
    </row>
    <row r="495" spans="1:26" x14ac:dyDescent="0.3">
      <c r="A495" s="1" t="s">
        <v>6305</v>
      </c>
      <c r="B495" s="126" t="s">
        <v>5555</v>
      </c>
      <c r="C495" s="54" t="s">
        <v>2544</v>
      </c>
      <c r="D495" s="127" t="s">
        <v>6306</v>
      </c>
      <c r="E495" s="1">
        <v>88999</v>
      </c>
      <c r="F495" s="1">
        <v>36</v>
      </c>
      <c r="G495" s="1">
        <v>3556</v>
      </c>
      <c r="H495" s="1" t="s">
        <v>630</v>
      </c>
      <c r="I495" s="1" t="s">
        <v>6307</v>
      </c>
      <c r="J495" s="1" t="s">
        <v>6308</v>
      </c>
      <c r="K495" s="126" t="s">
        <v>6309</v>
      </c>
      <c r="L495" s="1" t="s">
        <v>6244</v>
      </c>
      <c r="M495" s="131">
        <v>636704</v>
      </c>
      <c r="N495" s="126" t="s">
        <v>5562</v>
      </c>
      <c r="O495" s="131">
        <v>9843871879</v>
      </c>
      <c r="P495" s="1" t="s">
        <v>6310</v>
      </c>
      <c r="Q495" s="1" t="s">
        <v>6311</v>
      </c>
      <c r="R495" s="1" t="s">
        <v>6312</v>
      </c>
      <c r="S495" s="1">
        <v>3000</v>
      </c>
      <c r="T495" s="1">
        <v>70064</v>
      </c>
      <c r="U495" s="1">
        <v>73064</v>
      </c>
      <c r="V495" s="1" t="s">
        <v>641</v>
      </c>
      <c r="W495" s="129" t="s">
        <v>6313</v>
      </c>
      <c r="X495" t="s">
        <v>6314</v>
      </c>
      <c r="Y495" t="s">
        <v>644</v>
      </c>
      <c r="Z495" t="s">
        <v>645</v>
      </c>
    </row>
    <row r="496" spans="1:26" x14ac:dyDescent="0.3">
      <c r="A496" s="1" t="s">
        <v>6315</v>
      </c>
      <c r="B496" s="126" t="s">
        <v>5555</v>
      </c>
      <c r="C496" s="54" t="s">
        <v>1335</v>
      </c>
      <c r="D496" s="127" t="s">
        <v>5373</v>
      </c>
      <c r="E496" s="1">
        <v>74500</v>
      </c>
      <c r="F496" s="1">
        <v>36</v>
      </c>
      <c r="G496" s="1">
        <v>2914</v>
      </c>
      <c r="H496" s="1" t="s">
        <v>630</v>
      </c>
      <c r="I496" s="1" t="s">
        <v>6316</v>
      </c>
      <c r="J496" s="1" t="s">
        <v>6317</v>
      </c>
      <c r="K496" s="126" t="s">
        <v>6318</v>
      </c>
      <c r="L496" s="1" t="s">
        <v>6207</v>
      </c>
      <c r="M496" s="131">
        <v>603103</v>
      </c>
      <c r="N496" s="126" t="s">
        <v>5562</v>
      </c>
      <c r="O496" s="131">
        <v>7871142876</v>
      </c>
      <c r="P496" s="1" t="s">
        <v>6319</v>
      </c>
      <c r="Q496" s="1" t="s">
        <v>6320</v>
      </c>
      <c r="R496" s="1" t="s">
        <v>6321</v>
      </c>
      <c r="S496" s="1">
        <v>3000</v>
      </c>
      <c r="T496" s="1">
        <v>75418</v>
      </c>
      <c r="U496" s="1">
        <v>78418</v>
      </c>
      <c r="V496" s="1" t="s">
        <v>978</v>
      </c>
      <c r="W496" s="129" t="s">
        <v>6322</v>
      </c>
      <c r="X496" t="s">
        <v>6323</v>
      </c>
      <c r="Y496" t="s">
        <v>644</v>
      </c>
      <c r="Z496" t="s">
        <v>645</v>
      </c>
    </row>
    <row r="497" spans="1:26" x14ac:dyDescent="0.3">
      <c r="A497" s="1" t="s">
        <v>6324</v>
      </c>
      <c r="B497" s="126" t="s">
        <v>5555</v>
      </c>
      <c r="C497" s="54" t="s">
        <v>2544</v>
      </c>
      <c r="D497" s="127" t="s">
        <v>6325</v>
      </c>
      <c r="E497" s="1">
        <v>54600</v>
      </c>
      <c r="F497" s="1">
        <v>24</v>
      </c>
      <c r="G497" s="1">
        <v>2817</v>
      </c>
      <c r="H497" s="1" t="s">
        <v>630</v>
      </c>
      <c r="I497" s="1" t="s">
        <v>6326</v>
      </c>
      <c r="J497" s="1" t="s">
        <v>6327</v>
      </c>
      <c r="K497" s="126" t="s">
        <v>6328</v>
      </c>
      <c r="L497" s="1" t="s">
        <v>5902</v>
      </c>
      <c r="M497" s="131">
        <v>622002</v>
      </c>
      <c r="N497" s="126" t="s">
        <v>5562</v>
      </c>
      <c r="O497" s="131">
        <v>8760873181</v>
      </c>
      <c r="P497" s="1" t="s">
        <v>6329</v>
      </c>
      <c r="Q497" s="1" t="s">
        <v>6330</v>
      </c>
      <c r="R497" s="1" t="s">
        <v>6331</v>
      </c>
      <c r="S497" s="1">
        <v>3000</v>
      </c>
      <c r="T497" s="1">
        <v>5500</v>
      </c>
      <c r="U497" s="1">
        <v>8500</v>
      </c>
      <c r="V497" s="1" t="s">
        <v>6176</v>
      </c>
      <c r="W497" s="129" t="s">
        <v>6332</v>
      </c>
      <c r="X497" t="s">
        <v>6333</v>
      </c>
      <c r="Y497" t="s">
        <v>644</v>
      </c>
      <c r="Z497" t="s">
        <v>645</v>
      </c>
    </row>
    <row r="498" spans="1:26" x14ac:dyDescent="0.3">
      <c r="A498" s="1" t="s">
        <v>6334</v>
      </c>
      <c r="B498" s="126" t="s">
        <v>5555</v>
      </c>
      <c r="C498" s="54" t="s">
        <v>1335</v>
      </c>
      <c r="D498" s="127" t="s">
        <v>6335</v>
      </c>
      <c r="E498" s="1">
        <v>53224</v>
      </c>
      <c r="F498" s="1">
        <v>24</v>
      </c>
      <c r="G498" s="1">
        <v>2804</v>
      </c>
      <c r="H498" s="1" t="s">
        <v>630</v>
      </c>
      <c r="I498" s="1" t="s">
        <v>6336</v>
      </c>
      <c r="J498" s="1" t="s">
        <v>6337</v>
      </c>
      <c r="K498" s="126" t="s">
        <v>6338</v>
      </c>
      <c r="L498" s="1" t="s">
        <v>5588</v>
      </c>
      <c r="M498" s="131">
        <v>612804</v>
      </c>
      <c r="N498" s="126" t="s">
        <v>5562</v>
      </c>
      <c r="O498" s="131">
        <v>7373934508</v>
      </c>
      <c r="P498" s="1" t="s">
        <v>6339</v>
      </c>
      <c r="Q498" s="1" t="s">
        <v>6340</v>
      </c>
      <c r="R498" s="1" t="s">
        <v>6341</v>
      </c>
      <c r="S498" s="1">
        <v>3000</v>
      </c>
      <c r="T498" s="1">
        <v>42009</v>
      </c>
      <c r="U498" s="1">
        <v>45009</v>
      </c>
      <c r="V498" s="1" t="s">
        <v>2083</v>
      </c>
      <c r="W498" s="129" t="s">
        <v>6342</v>
      </c>
      <c r="X498" t="s">
        <v>6343</v>
      </c>
      <c r="Y498" t="s">
        <v>644</v>
      </c>
      <c r="Z498" t="s">
        <v>645</v>
      </c>
    </row>
    <row r="499" spans="1:26" x14ac:dyDescent="0.3">
      <c r="A499" s="1" t="s">
        <v>6344</v>
      </c>
      <c r="B499" s="126" t="s">
        <v>5968</v>
      </c>
      <c r="C499" s="54" t="s">
        <v>1335</v>
      </c>
      <c r="D499" s="127" t="s">
        <v>6345</v>
      </c>
      <c r="E499" s="1">
        <v>107283</v>
      </c>
      <c r="F499" s="1">
        <v>36</v>
      </c>
      <c r="G499" s="1">
        <v>4237</v>
      </c>
      <c r="H499" s="1" t="s">
        <v>630</v>
      </c>
      <c r="I499" s="1" t="s">
        <v>6346</v>
      </c>
      <c r="J499" s="1" t="s">
        <v>6079</v>
      </c>
      <c r="K499" s="126" t="s">
        <v>6347</v>
      </c>
      <c r="L499" s="1" t="s">
        <v>6045</v>
      </c>
      <c r="M499" s="131">
        <v>607203</v>
      </c>
      <c r="N499" s="126" t="s">
        <v>5562</v>
      </c>
      <c r="O499" s="131">
        <v>6374910372</v>
      </c>
      <c r="P499" s="1" t="s">
        <v>6348</v>
      </c>
      <c r="Q499" s="1" t="s">
        <v>6349</v>
      </c>
      <c r="R499" s="1" t="s">
        <v>6350</v>
      </c>
      <c r="S499" s="1">
        <v>3000</v>
      </c>
      <c r="T499" s="1">
        <v>133582</v>
      </c>
      <c r="U499" s="1">
        <v>136582</v>
      </c>
      <c r="V499" s="1" t="s">
        <v>742</v>
      </c>
      <c r="W499" s="129" t="s">
        <v>6351</v>
      </c>
      <c r="X499" t="s">
        <v>6352</v>
      </c>
      <c r="Y499" t="s">
        <v>644</v>
      </c>
      <c r="Z499" t="s">
        <v>645</v>
      </c>
    </row>
    <row r="500" spans="1:26" x14ac:dyDescent="0.3">
      <c r="A500" s="1" t="s">
        <v>6353</v>
      </c>
      <c r="B500" s="126" t="s">
        <v>5555</v>
      </c>
      <c r="C500" s="54" t="s">
        <v>1335</v>
      </c>
      <c r="D500" s="127" t="s">
        <v>6354</v>
      </c>
      <c r="E500" s="1">
        <v>70184</v>
      </c>
      <c r="F500" s="1">
        <v>30</v>
      </c>
      <c r="G500" s="1">
        <v>3170</v>
      </c>
      <c r="H500" s="1" t="s">
        <v>630</v>
      </c>
      <c r="I500" s="1" t="s">
        <v>6355</v>
      </c>
      <c r="J500" s="1" t="s">
        <v>6356</v>
      </c>
      <c r="K500" s="126" t="s">
        <v>6357</v>
      </c>
      <c r="L500" s="1" t="s">
        <v>5588</v>
      </c>
      <c r="M500" s="131">
        <v>612001</v>
      </c>
      <c r="N500" s="126" t="s">
        <v>5562</v>
      </c>
      <c r="O500" s="131">
        <v>9080664987</v>
      </c>
      <c r="P500" s="1" t="s">
        <v>6358</v>
      </c>
      <c r="Q500" s="1" t="s">
        <v>6359</v>
      </c>
      <c r="R500" s="1" t="s">
        <v>6360</v>
      </c>
      <c r="S500" s="1">
        <v>3000</v>
      </c>
      <c r="T500" s="1">
        <v>50282</v>
      </c>
      <c r="U500" s="1">
        <v>53282</v>
      </c>
      <c r="V500" s="1" t="s">
        <v>978</v>
      </c>
      <c r="W500" s="129" t="s">
        <v>6361</v>
      </c>
      <c r="X500" t="s">
        <v>6362</v>
      </c>
      <c r="Y500" t="s">
        <v>644</v>
      </c>
      <c r="Z500" t="s">
        <v>645</v>
      </c>
    </row>
    <row r="501" spans="1:26" x14ac:dyDescent="0.3">
      <c r="A501" s="1" t="s">
        <v>6363</v>
      </c>
      <c r="B501" s="126" t="s">
        <v>5555</v>
      </c>
      <c r="C501" s="54" t="s">
        <v>2483</v>
      </c>
      <c r="D501" s="127" t="s">
        <v>4147</v>
      </c>
      <c r="E501" s="1">
        <v>76999</v>
      </c>
      <c r="F501" s="1">
        <v>30</v>
      </c>
      <c r="G501" s="1">
        <v>3459</v>
      </c>
      <c r="H501" s="1" t="s">
        <v>630</v>
      </c>
      <c r="I501" s="1" t="s">
        <v>6364</v>
      </c>
      <c r="J501" s="1" t="s">
        <v>5923</v>
      </c>
      <c r="K501" s="126" t="s">
        <v>6365</v>
      </c>
      <c r="L501" s="1" t="s">
        <v>6244</v>
      </c>
      <c r="M501" s="131">
        <v>636809</v>
      </c>
      <c r="N501" s="126" t="s">
        <v>5562</v>
      </c>
      <c r="O501" s="131">
        <v>7708447432</v>
      </c>
      <c r="P501" s="1" t="s">
        <v>6366</v>
      </c>
      <c r="Q501" s="1" t="s">
        <v>6367</v>
      </c>
      <c r="R501" s="1" t="s">
        <v>6368</v>
      </c>
      <c r="S501" s="1">
        <v>3000</v>
      </c>
      <c r="T501" s="1">
        <v>103420</v>
      </c>
      <c r="U501" s="1">
        <v>106420</v>
      </c>
      <c r="V501" s="1" t="s">
        <v>5655</v>
      </c>
      <c r="W501" s="129" t="s">
        <v>6369</v>
      </c>
      <c r="X501" t="s">
        <v>6370</v>
      </c>
      <c r="Y501" t="s">
        <v>644</v>
      </c>
      <c r="Z501" t="s">
        <v>645</v>
      </c>
    </row>
    <row r="502" spans="1:26" x14ac:dyDescent="0.3">
      <c r="A502" s="1" t="s">
        <v>6371</v>
      </c>
      <c r="B502" s="126" t="s">
        <v>5555</v>
      </c>
      <c r="C502" s="54" t="s">
        <v>1335</v>
      </c>
      <c r="D502" s="127" t="s">
        <v>6372</v>
      </c>
      <c r="E502" s="1">
        <v>488250</v>
      </c>
      <c r="F502" s="1">
        <v>36</v>
      </c>
      <c r="G502" s="1">
        <v>17651</v>
      </c>
      <c r="H502" s="1" t="s">
        <v>630</v>
      </c>
      <c r="I502" s="1" t="s">
        <v>6373</v>
      </c>
      <c r="J502" s="1" t="s">
        <v>6374</v>
      </c>
      <c r="K502" s="126" t="s">
        <v>6375</v>
      </c>
      <c r="L502" s="1" t="s">
        <v>6219</v>
      </c>
      <c r="M502" s="131">
        <v>625009</v>
      </c>
      <c r="N502" s="126" t="s">
        <v>5562</v>
      </c>
      <c r="O502" s="131">
        <v>9360051294</v>
      </c>
      <c r="P502" s="1" t="s">
        <v>6376</v>
      </c>
      <c r="Q502" s="1" t="s">
        <v>6377</v>
      </c>
      <c r="R502" s="1" t="s">
        <v>6378</v>
      </c>
      <c r="S502" s="1">
        <v>15000</v>
      </c>
      <c r="T502" s="1">
        <v>491733</v>
      </c>
      <c r="U502" s="1">
        <v>506733</v>
      </c>
      <c r="V502" s="1" t="s">
        <v>6379</v>
      </c>
      <c r="W502" s="129" t="s">
        <v>6380</v>
      </c>
      <c r="X502" t="s">
        <v>6381</v>
      </c>
      <c r="Y502" t="s">
        <v>644</v>
      </c>
      <c r="Z502" t="s">
        <v>645</v>
      </c>
    </row>
    <row r="503" spans="1:26" x14ac:dyDescent="0.3">
      <c r="A503" s="1" t="s">
        <v>6382</v>
      </c>
      <c r="B503" s="126" t="s">
        <v>5555</v>
      </c>
      <c r="C503" s="54" t="s">
        <v>2483</v>
      </c>
      <c r="D503" s="127" t="s">
        <v>6383</v>
      </c>
      <c r="E503" s="1">
        <v>76972</v>
      </c>
      <c r="F503" s="1">
        <v>36</v>
      </c>
      <c r="G503" s="1">
        <v>3228</v>
      </c>
      <c r="H503" s="1" t="s">
        <v>630</v>
      </c>
      <c r="I503" s="1" t="s">
        <v>6384</v>
      </c>
      <c r="J503" s="1" t="s">
        <v>5793</v>
      </c>
      <c r="K503" s="126" t="s">
        <v>6385</v>
      </c>
      <c r="L503" s="1" t="s">
        <v>5806</v>
      </c>
      <c r="M503" s="131">
        <v>627416</v>
      </c>
      <c r="N503" s="126" t="s">
        <v>5562</v>
      </c>
      <c r="O503" s="131">
        <v>8870248100</v>
      </c>
      <c r="P503" s="1" t="s">
        <v>6386</v>
      </c>
      <c r="Q503" s="1" t="s">
        <v>6387</v>
      </c>
      <c r="R503" s="1" t="s">
        <v>6388</v>
      </c>
      <c r="S503" s="1">
        <v>3000</v>
      </c>
      <c r="T503" s="1">
        <v>73934</v>
      </c>
      <c r="U503" s="1">
        <v>76934</v>
      </c>
      <c r="V503" s="1" t="s">
        <v>978</v>
      </c>
      <c r="W503" s="129" t="s">
        <v>6389</v>
      </c>
      <c r="X503" t="s">
        <v>6390</v>
      </c>
      <c r="Y503" t="s">
        <v>644</v>
      </c>
      <c r="Z503" t="s">
        <v>645</v>
      </c>
    </row>
    <row r="504" spans="1:26" x14ac:dyDescent="0.3">
      <c r="A504" s="1" t="s">
        <v>6391</v>
      </c>
      <c r="B504" s="126" t="s">
        <v>5555</v>
      </c>
      <c r="C504" s="54" t="s">
        <v>2483</v>
      </c>
      <c r="D504" s="127" t="s">
        <v>6392</v>
      </c>
      <c r="E504" s="1">
        <v>52900</v>
      </c>
      <c r="F504" s="1">
        <v>37</v>
      </c>
      <c r="G504" s="1">
        <v>2414</v>
      </c>
      <c r="H504" s="1" t="s">
        <v>630</v>
      </c>
      <c r="I504" s="1" t="s">
        <v>6393</v>
      </c>
      <c r="J504" s="1" t="s">
        <v>6394</v>
      </c>
      <c r="K504" s="126" t="s">
        <v>6395</v>
      </c>
      <c r="L504" s="1" t="s">
        <v>5588</v>
      </c>
      <c r="M504" s="131">
        <v>613005</v>
      </c>
      <c r="N504" s="126" t="s">
        <v>5562</v>
      </c>
      <c r="O504" s="131">
        <v>7904732597</v>
      </c>
      <c r="P504" s="1" t="s">
        <v>6396</v>
      </c>
      <c r="Q504" s="1" t="s">
        <v>6397</v>
      </c>
      <c r="R504" s="1" t="s">
        <v>6398</v>
      </c>
      <c r="S504" s="1">
        <v>3000</v>
      </c>
      <c r="T504" s="1">
        <v>61472</v>
      </c>
      <c r="U504" s="1">
        <v>64472</v>
      </c>
      <c r="V504" s="1" t="s">
        <v>2083</v>
      </c>
      <c r="W504" s="129" t="s">
        <v>6399</v>
      </c>
      <c r="X504" t="s">
        <v>6400</v>
      </c>
      <c r="Y504" t="s">
        <v>644</v>
      </c>
      <c r="Z504" t="s">
        <v>645</v>
      </c>
    </row>
    <row r="505" spans="1:26" x14ac:dyDescent="0.3">
      <c r="A505" s="1" t="s">
        <v>6401</v>
      </c>
      <c r="B505" s="126" t="s">
        <v>5555</v>
      </c>
      <c r="C505" s="54" t="s">
        <v>2483</v>
      </c>
      <c r="D505" s="127" t="s">
        <v>6402</v>
      </c>
      <c r="E505" s="1">
        <v>65650</v>
      </c>
      <c r="F505" s="1">
        <v>30</v>
      </c>
      <c r="G505" s="1">
        <v>3092</v>
      </c>
      <c r="H505" s="1" t="s">
        <v>630</v>
      </c>
      <c r="I505" s="1" t="s">
        <v>6403</v>
      </c>
      <c r="J505" s="1" t="s">
        <v>6404</v>
      </c>
      <c r="K505" s="126" t="s">
        <v>6405</v>
      </c>
      <c r="L505" s="1" t="s">
        <v>5806</v>
      </c>
      <c r="M505" s="131">
        <v>627756</v>
      </c>
      <c r="N505" s="126" t="s">
        <v>5562</v>
      </c>
      <c r="O505" s="131">
        <v>8838102722</v>
      </c>
      <c r="P505" s="1" t="s">
        <v>6406</v>
      </c>
      <c r="Q505" s="1" t="s">
        <v>6407</v>
      </c>
      <c r="R505" s="1" t="s">
        <v>6408</v>
      </c>
      <c r="S505" s="1">
        <v>3000</v>
      </c>
      <c r="T505" s="1">
        <v>74707</v>
      </c>
      <c r="U505" s="1">
        <v>77707</v>
      </c>
      <c r="V505" s="1" t="s">
        <v>768</v>
      </c>
      <c r="W505" s="129" t="s">
        <v>6409</v>
      </c>
      <c r="X505" t="s">
        <v>6410</v>
      </c>
      <c r="Y505" t="s">
        <v>644</v>
      </c>
      <c r="Z505" t="s">
        <v>645</v>
      </c>
    </row>
    <row r="506" spans="1:26" x14ac:dyDescent="0.3">
      <c r="A506" s="1" t="s">
        <v>6411</v>
      </c>
      <c r="B506" s="126" t="s">
        <v>5555</v>
      </c>
      <c r="C506" s="54" t="s">
        <v>1335</v>
      </c>
      <c r="D506" s="127" t="s">
        <v>1256</v>
      </c>
      <c r="E506" s="1">
        <v>42765</v>
      </c>
      <c r="F506" s="1">
        <v>43</v>
      </c>
      <c r="G506" s="1">
        <v>1762</v>
      </c>
      <c r="H506" s="1" t="s">
        <v>630</v>
      </c>
      <c r="I506" s="1" t="s">
        <v>6412</v>
      </c>
      <c r="J506" s="1" t="s">
        <v>6413</v>
      </c>
      <c r="K506" s="126" t="s">
        <v>6414</v>
      </c>
      <c r="L506" s="1" t="s">
        <v>5588</v>
      </c>
      <c r="M506" s="131">
        <v>614017</v>
      </c>
      <c r="N506" s="126" t="s">
        <v>5562</v>
      </c>
      <c r="O506" s="131">
        <v>9843547792</v>
      </c>
      <c r="P506" s="1" t="s">
        <v>6415</v>
      </c>
      <c r="Q506" s="1" t="s">
        <v>6416</v>
      </c>
      <c r="R506" s="1" t="s">
        <v>6417</v>
      </c>
      <c r="S506" s="1">
        <v>3000</v>
      </c>
      <c r="T506" s="1">
        <v>42681</v>
      </c>
      <c r="U506" s="1">
        <v>45681</v>
      </c>
      <c r="V506" s="1" t="s">
        <v>685</v>
      </c>
      <c r="W506" s="129" t="s">
        <v>6418</v>
      </c>
      <c r="X506" t="s">
        <v>6419</v>
      </c>
      <c r="Y506" t="s">
        <v>644</v>
      </c>
      <c r="Z506" t="s">
        <v>645</v>
      </c>
    </row>
    <row r="507" spans="1:26" x14ac:dyDescent="0.3">
      <c r="A507" s="1" t="s">
        <v>6420</v>
      </c>
      <c r="B507" s="126" t="s">
        <v>5555</v>
      </c>
      <c r="C507" s="54" t="s">
        <v>2483</v>
      </c>
      <c r="D507" s="127" t="s">
        <v>6421</v>
      </c>
      <c r="E507" s="1">
        <v>51650</v>
      </c>
      <c r="F507" s="1">
        <v>30</v>
      </c>
      <c r="G507" s="1">
        <v>2599</v>
      </c>
      <c r="H507" s="1" t="s">
        <v>630</v>
      </c>
      <c r="I507" s="1" t="s">
        <v>6422</v>
      </c>
      <c r="J507" s="1" t="s">
        <v>6423</v>
      </c>
      <c r="K507" s="126" t="s">
        <v>6424</v>
      </c>
      <c r="L507" s="1" t="s">
        <v>5575</v>
      </c>
      <c r="M507" s="131">
        <v>614103</v>
      </c>
      <c r="N507" s="126" t="s">
        <v>5562</v>
      </c>
      <c r="O507" s="131">
        <v>9965676567</v>
      </c>
      <c r="P507" s="1" t="s">
        <v>6425</v>
      </c>
      <c r="Q507" s="1" t="s">
        <v>6426</v>
      </c>
      <c r="R507" s="1" t="s">
        <v>6427</v>
      </c>
      <c r="S507" s="1">
        <v>3000</v>
      </c>
      <c r="T507" s="1">
        <v>51503</v>
      </c>
      <c r="U507" s="1">
        <v>54503</v>
      </c>
      <c r="V507" s="1" t="s">
        <v>698</v>
      </c>
      <c r="W507" s="129" t="s">
        <v>6428</v>
      </c>
      <c r="X507" t="s">
        <v>6429</v>
      </c>
      <c r="Y507" t="s">
        <v>644</v>
      </c>
      <c r="Z507" t="s">
        <v>645</v>
      </c>
    </row>
    <row r="508" spans="1:26" x14ac:dyDescent="0.3">
      <c r="A508" s="1" t="s">
        <v>6430</v>
      </c>
      <c r="B508" s="126" t="s">
        <v>5555</v>
      </c>
      <c r="C508" s="54" t="s">
        <v>2483</v>
      </c>
      <c r="D508" s="127" t="s">
        <v>6431</v>
      </c>
      <c r="E508" s="1">
        <v>63000</v>
      </c>
      <c r="F508" s="1">
        <v>30</v>
      </c>
      <c r="G508" s="1">
        <v>2967</v>
      </c>
      <c r="H508" s="1" t="s">
        <v>630</v>
      </c>
      <c r="I508" s="1" t="s">
        <v>6432</v>
      </c>
      <c r="J508" s="1" t="s">
        <v>5661</v>
      </c>
      <c r="K508" s="126" t="s">
        <v>6433</v>
      </c>
      <c r="L508" s="1" t="s">
        <v>5783</v>
      </c>
      <c r="M508" s="131">
        <v>637101</v>
      </c>
      <c r="N508" s="126" t="s">
        <v>5562</v>
      </c>
      <c r="O508" s="131">
        <v>9791927816</v>
      </c>
      <c r="P508" s="1" t="s">
        <v>6434</v>
      </c>
      <c r="Q508" s="1" t="s">
        <v>6435</v>
      </c>
      <c r="R508" s="1" t="s">
        <v>6436</v>
      </c>
      <c r="S508" s="1">
        <v>3000</v>
      </c>
      <c r="T508" s="1">
        <v>43477</v>
      </c>
      <c r="U508" s="1">
        <v>46477</v>
      </c>
      <c r="V508" s="1" t="s">
        <v>1019</v>
      </c>
      <c r="W508" s="129" t="s">
        <v>6437</v>
      </c>
      <c r="X508" t="s">
        <v>6438</v>
      </c>
      <c r="Y508" t="s">
        <v>644</v>
      </c>
      <c r="Z508" t="s">
        <v>645</v>
      </c>
    </row>
    <row r="509" spans="1:26" x14ac:dyDescent="0.3">
      <c r="A509" s="1" t="s">
        <v>6439</v>
      </c>
      <c r="B509" s="126" t="s">
        <v>5555</v>
      </c>
      <c r="C509" s="54" t="s">
        <v>1335</v>
      </c>
      <c r="D509" s="127" t="s">
        <v>6440</v>
      </c>
      <c r="E509" s="1">
        <v>72900</v>
      </c>
      <c r="F509" s="1">
        <v>24</v>
      </c>
      <c r="G509" s="1">
        <v>3858</v>
      </c>
      <c r="H509" s="1" t="s">
        <v>630</v>
      </c>
      <c r="I509" s="1" t="s">
        <v>6441</v>
      </c>
      <c r="J509" s="1" t="s">
        <v>6442</v>
      </c>
      <c r="K509" s="126" t="s">
        <v>6443</v>
      </c>
      <c r="L509" s="1" t="s">
        <v>6444</v>
      </c>
      <c r="M509" s="131">
        <v>635809</v>
      </c>
      <c r="N509" s="126" t="s">
        <v>5562</v>
      </c>
      <c r="O509" s="131">
        <v>8925350292</v>
      </c>
      <c r="P509" s="1" t="s">
        <v>6445</v>
      </c>
      <c r="Q509" s="1" t="s">
        <v>6446</v>
      </c>
      <c r="R509" s="1" t="s">
        <v>6447</v>
      </c>
      <c r="S509" s="1">
        <v>3000</v>
      </c>
      <c r="T509" s="1">
        <v>39510</v>
      </c>
      <c r="U509" s="1">
        <v>42510</v>
      </c>
      <c r="V509" s="1" t="s">
        <v>2392</v>
      </c>
      <c r="W509" s="129" t="s">
        <v>6448</v>
      </c>
      <c r="X509" t="s">
        <v>6449</v>
      </c>
      <c r="Y509" t="s">
        <v>644</v>
      </c>
      <c r="Z509" t="s">
        <v>645</v>
      </c>
    </row>
    <row r="510" spans="1:26" x14ac:dyDescent="0.3">
      <c r="A510" s="1" t="s">
        <v>6450</v>
      </c>
      <c r="B510" s="126" t="s">
        <v>5968</v>
      </c>
      <c r="C510" s="54" t="s">
        <v>2544</v>
      </c>
      <c r="D510" s="127" t="s">
        <v>6451</v>
      </c>
      <c r="E510" s="1">
        <v>75999</v>
      </c>
      <c r="F510" s="1">
        <v>24</v>
      </c>
      <c r="G510" s="1">
        <v>4085</v>
      </c>
      <c r="H510" s="1" t="s">
        <v>630</v>
      </c>
      <c r="I510" s="1" t="s">
        <v>6452</v>
      </c>
      <c r="J510" s="1" t="s">
        <v>6453</v>
      </c>
      <c r="K510" s="126" t="s">
        <v>6454</v>
      </c>
      <c r="L510" s="1" t="s">
        <v>6045</v>
      </c>
      <c r="M510" s="131">
        <v>604001</v>
      </c>
      <c r="N510" s="126" t="s">
        <v>5562</v>
      </c>
      <c r="O510" s="131">
        <v>8870499032</v>
      </c>
      <c r="P510" s="1" t="s">
        <v>682</v>
      </c>
      <c r="Q510" s="1" t="s">
        <v>6455</v>
      </c>
      <c r="R510" s="1" t="s">
        <v>6456</v>
      </c>
      <c r="S510" s="1">
        <v>3000</v>
      </c>
      <c r="T510" s="1">
        <v>99878</v>
      </c>
      <c r="U510" s="1">
        <v>102878</v>
      </c>
      <c r="V510" s="1" t="s">
        <v>768</v>
      </c>
      <c r="W510" s="129" t="s">
        <v>6457</v>
      </c>
      <c r="X510" t="s">
        <v>6458</v>
      </c>
      <c r="Y510" t="s">
        <v>644</v>
      </c>
      <c r="Z510" t="s">
        <v>645</v>
      </c>
    </row>
    <row r="511" spans="1:26" x14ac:dyDescent="0.3">
      <c r="A511" s="1" t="s">
        <v>6459</v>
      </c>
      <c r="B511" s="126" t="s">
        <v>5555</v>
      </c>
      <c r="C511" s="54" t="s">
        <v>2483</v>
      </c>
      <c r="D511" s="127" t="s">
        <v>5336</v>
      </c>
      <c r="E511" s="1">
        <v>54801</v>
      </c>
      <c r="F511" s="1">
        <v>41</v>
      </c>
      <c r="G511" s="1">
        <v>2992</v>
      </c>
      <c r="H511" s="1" t="s">
        <v>630</v>
      </c>
      <c r="I511" s="1" t="s">
        <v>6460</v>
      </c>
      <c r="J511" s="1" t="s">
        <v>6461</v>
      </c>
      <c r="K511" s="126" t="s">
        <v>6462</v>
      </c>
      <c r="L511" s="1" t="s">
        <v>5588</v>
      </c>
      <c r="M511" s="131">
        <v>614614</v>
      </c>
      <c r="N511" s="126" t="s">
        <v>5562</v>
      </c>
      <c r="O511" s="131">
        <v>9159287565</v>
      </c>
      <c r="P511" s="1" t="s">
        <v>6463</v>
      </c>
      <c r="Q511" s="1" t="s">
        <v>6464</v>
      </c>
      <c r="R511" s="1" t="s">
        <v>6465</v>
      </c>
      <c r="S511" s="1">
        <v>3000</v>
      </c>
      <c r="T511" s="1">
        <v>113638</v>
      </c>
      <c r="U511" s="1">
        <v>116638</v>
      </c>
      <c r="V511" s="1" t="s">
        <v>6466</v>
      </c>
      <c r="W511" s="129" t="s">
        <v>6467</v>
      </c>
      <c r="X511" t="s">
        <v>6468</v>
      </c>
      <c r="Y511" t="s">
        <v>644</v>
      </c>
      <c r="Z511" t="s">
        <v>645</v>
      </c>
    </row>
    <row r="512" spans="1:26" x14ac:dyDescent="0.3">
      <c r="A512" s="1" t="s">
        <v>6469</v>
      </c>
      <c r="B512" s="126" t="s">
        <v>5555</v>
      </c>
      <c r="C512" s="54" t="s">
        <v>2483</v>
      </c>
      <c r="D512" s="127" t="s">
        <v>3405</v>
      </c>
      <c r="E512" s="1">
        <v>68553</v>
      </c>
      <c r="F512" s="1">
        <v>35</v>
      </c>
      <c r="G512" s="1">
        <v>3000</v>
      </c>
      <c r="H512" s="1" t="s">
        <v>630</v>
      </c>
      <c r="I512" s="1" t="s">
        <v>6470</v>
      </c>
      <c r="J512" s="1" t="s">
        <v>6471</v>
      </c>
      <c r="K512" s="126" t="s">
        <v>6472</v>
      </c>
      <c r="L512" s="1" t="s">
        <v>5806</v>
      </c>
      <c r="M512" s="131">
        <v>627425</v>
      </c>
      <c r="N512" s="126" t="s">
        <v>5562</v>
      </c>
      <c r="O512" s="131">
        <v>9944144034</v>
      </c>
      <c r="P512" s="1" t="s">
        <v>6473</v>
      </c>
      <c r="Q512" s="1" t="s">
        <v>6474</v>
      </c>
      <c r="R512" s="1" t="s">
        <v>6475</v>
      </c>
      <c r="S512" s="1">
        <v>3000</v>
      </c>
      <c r="T512" s="1">
        <v>42093</v>
      </c>
      <c r="U512" s="1">
        <v>45093</v>
      </c>
      <c r="V512" s="1" t="s">
        <v>5704</v>
      </c>
      <c r="W512" s="129" t="s">
        <v>6476</v>
      </c>
      <c r="X512" t="s">
        <v>6477</v>
      </c>
      <c r="Y512" t="s">
        <v>644</v>
      </c>
      <c r="Z512" t="s">
        <v>645</v>
      </c>
    </row>
    <row r="513" spans="1:26" x14ac:dyDescent="0.3">
      <c r="A513" s="1" t="s">
        <v>6478</v>
      </c>
      <c r="B513" s="126" t="s">
        <v>5555</v>
      </c>
      <c r="C513" s="54" t="s">
        <v>1335</v>
      </c>
      <c r="D513" s="127" t="s">
        <v>6479</v>
      </c>
      <c r="E513" s="1">
        <v>61500</v>
      </c>
      <c r="F513" s="1">
        <v>24</v>
      </c>
      <c r="G513" s="1">
        <v>3427</v>
      </c>
      <c r="H513" s="1" t="s">
        <v>630</v>
      </c>
      <c r="I513" s="1" t="s">
        <v>6480</v>
      </c>
      <c r="J513" s="1" t="s">
        <v>6481</v>
      </c>
      <c r="K513" s="126" t="s">
        <v>6482</v>
      </c>
      <c r="L513" s="1" t="s">
        <v>6279</v>
      </c>
      <c r="M513" s="131">
        <v>623519</v>
      </c>
      <c r="N513" s="126" t="s">
        <v>5562</v>
      </c>
      <c r="O513" s="131">
        <v>8680843896</v>
      </c>
      <c r="P513" s="1" t="s">
        <v>6483</v>
      </c>
      <c r="Q513" s="1" t="s">
        <v>6484</v>
      </c>
      <c r="R513" s="1" t="s">
        <v>6485</v>
      </c>
      <c r="S513" s="1">
        <v>3000</v>
      </c>
      <c r="T513" s="1">
        <v>74199</v>
      </c>
      <c r="U513" s="1">
        <v>77199</v>
      </c>
      <c r="V513" s="1" t="s">
        <v>5199</v>
      </c>
      <c r="W513" s="129" t="s">
        <v>6486</v>
      </c>
      <c r="X513" t="s">
        <v>6487</v>
      </c>
      <c r="Y513" t="s">
        <v>644</v>
      </c>
      <c r="Z513" t="s">
        <v>645</v>
      </c>
    </row>
    <row r="514" spans="1:26" x14ac:dyDescent="0.3">
      <c r="A514" s="1" t="s">
        <v>6488</v>
      </c>
      <c r="B514" s="126" t="s">
        <v>5555</v>
      </c>
      <c r="C514" s="54" t="s">
        <v>1335</v>
      </c>
      <c r="D514" s="127" t="s">
        <v>6489</v>
      </c>
      <c r="E514" s="1">
        <v>65273</v>
      </c>
      <c r="F514" s="1">
        <v>24</v>
      </c>
      <c r="G514" s="1">
        <v>3620</v>
      </c>
      <c r="H514" s="1" t="s">
        <v>630</v>
      </c>
      <c r="I514" s="1" t="s">
        <v>6490</v>
      </c>
      <c r="J514" s="1" t="s">
        <v>6491</v>
      </c>
      <c r="K514" s="126" t="s">
        <v>6492</v>
      </c>
      <c r="L514" s="1" t="s">
        <v>5575</v>
      </c>
      <c r="M514" s="131">
        <v>610104</v>
      </c>
      <c r="N514" s="126" t="s">
        <v>5562</v>
      </c>
      <c r="O514" s="131">
        <v>8610478551</v>
      </c>
      <c r="P514" s="1" t="s">
        <v>6493</v>
      </c>
      <c r="Q514" s="1" t="s">
        <v>6494</v>
      </c>
      <c r="R514" s="1" t="s">
        <v>6495</v>
      </c>
      <c r="S514" s="1">
        <v>3000</v>
      </c>
      <c r="T514" s="1">
        <v>57640</v>
      </c>
      <c r="U514" s="1">
        <v>60640</v>
      </c>
      <c r="V514" s="1" t="s">
        <v>6496</v>
      </c>
      <c r="W514" s="129" t="s">
        <v>6497</v>
      </c>
      <c r="X514" t="s">
        <v>6498</v>
      </c>
      <c r="Y514" t="s">
        <v>644</v>
      </c>
      <c r="Z514" t="s">
        <v>645</v>
      </c>
    </row>
    <row r="515" spans="1:26" x14ac:dyDescent="0.3">
      <c r="A515" s="1" t="s">
        <v>6499</v>
      </c>
      <c r="B515" s="126" t="s">
        <v>5555</v>
      </c>
      <c r="C515" s="54" t="s">
        <v>1335</v>
      </c>
      <c r="D515" s="127" t="s">
        <v>6500</v>
      </c>
      <c r="E515" s="1">
        <v>50599</v>
      </c>
      <c r="F515" s="1">
        <v>24</v>
      </c>
      <c r="G515" s="1">
        <v>2853</v>
      </c>
      <c r="H515" s="1" t="s">
        <v>630</v>
      </c>
      <c r="I515" s="1" t="s">
        <v>6501</v>
      </c>
      <c r="J515" s="1" t="s">
        <v>6502</v>
      </c>
      <c r="K515" s="126" t="s">
        <v>6503</v>
      </c>
      <c r="L515" s="1" t="s">
        <v>6279</v>
      </c>
      <c r="M515" s="131">
        <v>623526</v>
      </c>
      <c r="N515" s="126" t="s">
        <v>5562</v>
      </c>
      <c r="O515" s="131">
        <v>9865666021</v>
      </c>
      <c r="P515" s="1" t="s">
        <v>6504</v>
      </c>
      <c r="Q515" s="1" t="s">
        <v>6505</v>
      </c>
      <c r="R515" s="1" t="s">
        <v>6506</v>
      </c>
      <c r="S515" s="1">
        <v>3000</v>
      </c>
      <c r="T515" s="1">
        <v>28033</v>
      </c>
      <c r="U515" s="1">
        <v>31033</v>
      </c>
      <c r="V515" s="1" t="s">
        <v>1078</v>
      </c>
      <c r="W515" s="129" t="s">
        <v>6507</v>
      </c>
      <c r="X515" t="s">
        <v>6508</v>
      </c>
      <c r="Y515" t="s">
        <v>644</v>
      </c>
      <c r="Z515" t="s">
        <v>645</v>
      </c>
    </row>
    <row r="516" spans="1:26" x14ac:dyDescent="0.3">
      <c r="A516" s="1" t="s">
        <v>6509</v>
      </c>
      <c r="B516" s="126" t="s">
        <v>5555</v>
      </c>
      <c r="C516" s="54" t="s">
        <v>1335</v>
      </c>
      <c r="D516" s="127" t="s">
        <v>6510</v>
      </c>
      <c r="E516" s="1">
        <v>83299</v>
      </c>
      <c r="F516" s="1">
        <v>36</v>
      </c>
      <c r="G516" s="1">
        <v>3286</v>
      </c>
      <c r="H516" s="1" t="s">
        <v>630</v>
      </c>
      <c r="I516" s="1" t="s">
        <v>6511</v>
      </c>
      <c r="J516" s="1" t="s">
        <v>6512</v>
      </c>
      <c r="K516" s="126" t="s">
        <v>6513</v>
      </c>
      <c r="L516" s="1" t="s">
        <v>5889</v>
      </c>
      <c r="M516" s="131">
        <v>601201</v>
      </c>
      <c r="N516" s="126" t="s">
        <v>5562</v>
      </c>
      <c r="O516" s="131">
        <v>9566474284</v>
      </c>
      <c r="P516" s="1" t="s">
        <v>6514</v>
      </c>
      <c r="Q516" s="1" t="s">
        <v>6515</v>
      </c>
      <c r="R516" s="1" t="s">
        <v>6516</v>
      </c>
      <c r="S516" s="1">
        <v>3000</v>
      </c>
      <c r="T516" s="1">
        <v>135166</v>
      </c>
      <c r="U516" s="1">
        <v>138166</v>
      </c>
      <c r="V516" s="1" t="s">
        <v>3797</v>
      </c>
      <c r="W516" s="129" t="s">
        <v>6517</v>
      </c>
      <c r="X516" t="s">
        <v>6518</v>
      </c>
      <c r="Y516" t="s">
        <v>644</v>
      </c>
      <c r="Z516" t="s">
        <v>645</v>
      </c>
    </row>
    <row r="517" spans="1:26" x14ac:dyDescent="0.3">
      <c r="A517" s="1" t="s">
        <v>6519</v>
      </c>
      <c r="B517" s="126" t="s">
        <v>5555</v>
      </c>
      <c r="C517" s="1" t="s">
        <v>682</v>
      </c>
      <c r="D517" s="127" t="s">
        <v>6520</v>
      </c>
      <c r="E517" s="1">
        <v>268250</v>
      </c>
      <c r="F517" s="1">
        <v>69</v>
      </c>
      <c r="G517" s="1">
        <v>7109</v>
      </c>
      <c r="H517" s="1" t="s">
        <v>630</v>
      </c>
      <c r="I517" s="1" t="s">
        <v>6521</v>
      </c>
      <c r="J517" s="1" t="s">
        <v>6522</v>
      </c>
      <c r="K517" s="126" t="s">
        <v>6523</v>
      </c>
      <c r="L517" s="1" t="s">
        <v>6244</v>
      </c>
      <c r="M517" s="131">
        <v>636805</v>
      </c>
      <c r="N517" s="126" t="s">
        <v>5562</v>
      </c>
      <c r="O517" s="131">
        <v>9487673759</v>
      </c>
      <c r="P517" s="1" t="s">
        <v>6524</v>
      </c>
      <c r="Q517" s="1" t="s">
        <v>6525</v>
      </c>
      <c r="R517" s="1" t="s">
        <v>6526</v>
      </c>
      <c r="S517" s="1">
        <v>15000</v>
      </c>
      <c r="T517" s="1">
        <v>527591</v>
      </c>
      <c r="U517" s="1">
        <v>542591</v>
      </c>
      <c r="V517" s="1" t="s">
        <v>6527</v>
      </c>
      <c r="W517" s="129" t="s">
        <v>6528</v>
      </c>
      <c r="X517" t="s">
        <v>6529</v>
      </c>
      <c r="Y517" t="s">
        <v>644</v>
      </c>
      <c r="Z517" t="s">
        <v>645</v>
      </c>
    </row>
    <row r="518" spans="1:26" x14ac:dyDescent="0.3">
      <c r="A518" s="1" t="s">
        <v>6530</v>
      </c>
      <c r="B518" s="126" t="s">
        <v>5555</v>
      </c>
      <c r="C518" s="54" t="s">
        <v>2544</v>
      </c>
      <c r="D518" s="127" t="s">
        <v>6531</v>
      </c>
      <c r="E518" s="1">
        <v>50900</v>
      </c>
      <c r="F518" s="1">
        <v>29</v>
      </c>
      <c r="G518" s="1">
        <v>2683</v>
      </c>
      <c r="H518" s="1" t="s">
        <v>630</v>
      </c>
      <c r="I518" s="1" t="s">
        <v>6532</v>
      </c>
      <c r="J518" s="1" t="s">
        <v>5958</v>
      </c>
      <c r="K518" s="126" t="s">
        <v>6533</v>
      </c>
      <c r="L518" s="1" t="s">
        <v>6244</v>
      </c>
      <c r="M518" s="131">
        <v>636902</v>
      </c>
      <c r="N518" s="126" t="s">
        <v>5562</v>
      </c>
      <c r="O518" s="131">
        <v>6383679795</v>
      </c>
      <c r="P518" s="1" t="s">
        <v>6534</v>
      </c>
      <c r="Q518" s="1" t="s">
        <v>6535</v>
      </c>
      <c r="R518" s="1" t="s">
        <v>6536</v>
      </c>
      <c r="S518" s="1">
        <v>3000</v>
      </c>
      <c r="T518" s="1">
        <v>33037</v>
      </c>
      <c r="U518" s="1">
        <v>36037</v>
      </c>
      <c r="V518" s="1" t="s">
        <v>1005</v>
      </c>
      <c r="W518" s="129" t="s">
        <v>6537</v>
      </c>
      <c r="X518" t="s">
        <v>6538</v>
      </c>
      <c r="Y518" t="s">
        <v>644</v>
      </c>
      <c r="Z518" t="s">
        <v>645</v>
      </c>
    </row>
    <row r="519" spans="1:26" x14ac:dyDescent="0.3">
      <c r="A519" s="1" t="s">
        <v>6539</v>
      </c>
      <c r="B519" s="126" t="s">
        <v>5555</v>
      </c>
      <c r="C519" s="54" t="s">
        <v>2544</v>
      </c>
      <c r="D519" s="127" t="s">
        <v>6540</v>
      </c>
      <c r="E519" s="1">
        <v>72900</v>
      </c>
      <c r="F519" s="1">
        <v>43</v>
      </c>
      <c r="G519" s="1">
        <v>2754</v>
      </c>
      <c r="H519" s="1" t="s">
        <v>630</v>
      </c>
      <c r="I519" s="1" t="s">
        <v>6541</v>
      </c>
      <c r="J519" s="1" t="s">
        <v>6542</v>
      </c>
      <c r="K519" s="126" t="s">
        <v>6543</v>
      </c>
      <c r="L519" s="1" t="s">
        <v>6244</v>
      </c>
      <c r="M519" s="131">
        <v>635202</v>
      </c>
      <c r="N519" s="126" t="s">
        <v>5562</v>
      </c>
      <c r="O519" s="131">
        <v>9384570259</v>
      </c>
      <c r="P519" s="1" t="s">
        <v>6544</v>
      </c>
      <c r="Q519" s="1" t="s">
        <v>6545</v>
      </c>
      <c r="R519" s="1" t="s">
        <v>6546</v>
      </c>
      <c r="S519" s="1">
        <v>3000</v>
      </c>
      <c r="T519" s="1">
        <v>34819</v>
      </c>
      <c r="U519" s="1">
        <v>37819</v>
      </c>
      <c r="V519" s="1" t="s">
        <v>1318</v>
      </c>
      <c r="W519" s="129" t="s">
        <v>6547</v>
      </c>
      <c r="X519" t="s">
        <v>6548</v>
      </c>
      <c r="Y519" t="s">
        <v>644</v>
      </c>
      <c r="Z519" t="s">
        <v>645</v>
      </c>
    </row>
    <row r="520" spans="1:26" x14ac:dyDescent="0.3">
      <c r="A520" s="1" t="s">
        <v>6549</v>
      </c>
      <c r="B520" s="126" t="s">
        <v>5555</v>
      </c>
      <c r="C520" s="54" t="s">
        <v>2483</v>
      </c>
      <c r="D520" s="127" t="s">
        <v>861</v>
      </c>
      <c r="E520" s="1">
        <v>53649</v>
      </c>
      <c r="F520" s="1">
        <v>26</v>
      </c>
      <c r="G520" s="1">
        <v>2676</v>
      </c>
      <c r="H520" s="1" t="s">
        <v>630</v>
      </c>
      <c r="I520" s="1" t="s">
        <v>6550</v>
      </c>
      <c r="J520" s="1" t="s">
        <v>6551</v>
      </c>
      <c r="K520" s="126" t="s">
        <v>6552</v>
      </c>
      <c r="L520" s="1" t="s">
        <v>6021</v>
      </c>
      <c r="M520" s="131">
        <v>626189</v>
      </c>
      <c r="N520" s="126" t="s">
        <v>5562</v>
      </c>
      <c r="O520" s="131">
        <v>8940240934</v>
      </c>
      <c r="P520" s="1" t="s">
        <v>6553</v>
      </c>
      <c r="Q520" s="1" t="s">
        <v>6554</v>
      </c>
      <c r="R520" s="1" t="s">
        <v>6555</v>
      </c>
      <c r="S520" s="1">
        <v>3000</v>
      </c>
      <c r="T520" s="1">
        <v>26993</v>
      </c>
      <c r="U520" s="1">
        <v>29993</v>
      </c>
      <c r="V520" s="1" t="s">
        <v>2083</v>
      </c>
      <c r="W520" s="129" t="s">
        <v>6556</v>
      </c>
      <c r="X520" t="s">
        <v>6557</v>
      </c>
      <c r="Y520" t="s">
        <v>644</v>
      </c>
      <c r="Z520" t="s">
        <v>645</v>
      </c>
    </row>
    <row r="521" spans="1:26" x14ac:dyDescent="0.3">
      <c r="A521" s="1" t="s">
        <v>6558</v>
      </c>
      <c r="B521" s="126" t="s">
        <v>5555</v>
      </c>
      <c r="C521" s="54" t="s">
        <v>1335</v>
      </c>
      <c r="D521" s="127" t="s">
        <v>6559</v>
      </c>
      <c r="E521" s="1">
        <v>84999</v>
      </c>
      <c r="F521" s="1">
        <v>25</v>
      </c>
      <c r="G521" s="1">
        <v>4194</v>
      </c>
      <c r="H521" s="1" t="s">
        <v>630</v>
      </c>
      <c r="I521" s="1" t="s">
        <v>6560</v>
      </c>
      <c r="J521" s="1" t="s">
        <v>6561</v>
      </c>
      <c r="K521" s="126" t="s">
        <v>6562</v>
      </c>
      <c r="L521" s="1" t="s">
        <v>6207</v>
      </c>
      <c r="M521" s="131">
        <v>602105</v>
      </c>
      <c r="N521" s="126" t="s">
        <v>5562</v>
      </c>
      <c r="O521" s="131">
        <v>9677452846</v>
      </c>
      <c r="P521" s="1" t="s">
        <v>682</v>
      </c>
      <c r="Q521" s="1" t="s">
        <v>6563</v>
      </c>
      <c r="R521" s="1" t="s">
        <v>6564</v>
      </c>
      <c r="S521" s="1">
        <v>3000</v>
      </c>
      <c r="T521" s="1">
        <v>67439</v>
      </c>
      <c r="U521" s="1">
        <v>70439</v>
      </c>
      <c r="V521" s="1" t="s">
        <v>3797</v>
      </c>
      <c r="W521" s="129" t="s">
        <v>6565</v>
      </c>
      <c r="X521" t="s">
        <v>6566</v>
      </c>
      <c r="Y521" t="s">
        <v>644</v>
      </c>
      <c r="Z521" t="s">
        <v>645</v>
      </c>
    </row>
    <row r="522" spans="1:26" x14ac:dyDescent="0.3">
      <c r="A522" s="1" t="s">
        <v>6567</v>
      </c>
      <c r="B522" s="126" t="s">
        <v>5555</v>
      </c>
      <c r="C522" s="54" t="s">
        <v>2483</v>
      </c>
      <c r="D522" s="127" t="s">
        <v>6568</v>
      </c>
      <c r="E522" s="1">
        <v>73000</v>
      </c>
      <c r="F522" s="1">
        <v>24</v>
      </c>
      <c r="G522" s="1">
        <v>3845</v>
      </c>
      <c r="H522" s="1" t="s">
        <v>630</v>
      </c>
      <c r="I522" s="1" t="s">
        <v>6569</v>
      </c>
      <c r="J522" s="1" t="s">
        <v>6570</v>
      </c>
      <c r="K522" s="126" t="s">
        <v>6571</v>
      </c>
      <c r="L522" s="1" t="s">
        <v>6244</v>
      </c>
      <c r="M522" s="131">
        <v>636806</v>
      </c>
      <c r="N522" s="126" t="s">
        <v>5562</v>
      </c>
      <c r="O522" s="131">
        <v>9629357538</v>
      </c>
      <c r="P522" s="1" t="s">
        <v>6572</v>
      </c>
      <c r="Q522" s="1" t="s">
        <v>6573</v>
      </c>
      <c r="R522" s="1" t="s">
        <v>6574</v>
      </c>
      <c r="S522" s="1">
        <v>3000</v>
      </c>
      <c r="T522" s="1">
        <v>43725</v>
      </c>
      <c r="U522" s="1">
        <v>46725</v>
      </c>
      <c r="V522" s="1" t="s">
        <v>2392</v>
      </c>
      <c r="W522" s="129" t="s">
        <v>6575</v>
      </c>
      <c r="X522" t="s">
        <v>6576</v>
      </c>
      <c r="Y522" t="s">
        <v>644</v>
      </c>
      <c r="Z522" t="s">
        <v>645</v>
      </c>
    </row>
    <row r="523" spans="1:26" x14ac:dyDescent="0.3">
      <c r="A523" s="1" t="s">
        <v>6577</v>
      </c>
      <c r="B523" s="126" t="s">
        <v>5555</v>
      </c>
      <c r="C523" s="54" t="s">
        <v>1335</v>
      </c>
      <c r="D523" s="127" t="s">
        <v>1692</v>
      </c>
      <c r="E523" s="1">
        <v>74850</v>
      </c>
      <c r="F523" s="1">
        <v>29</v>
      </c>
      <c r="G523" s="1">
        <v>4017</v>
      </c>
      <c r="H523" s="1" t="s">
        <v>630</v>
      </c>
      <c r="I523" s="1" t="s">
        <v>6578</v>
      </c>
      <c r="J523" s="1" t="s">
        <v>6579</v>
      </c>
      <c r="K523" s="126" t="s">
        <v>6580</v>
      </c>
      <c r="L523" s="1" t="s">
        <v>6279</v>
      </c>
      <c r="M523" s="131">
        <v>623603</v>
      </c>
      <c r="N523" s="126" t="s">
        <v>5562</v>
      </c>
      <c r="O523" s="131">
        <v>7548876074</v>
      </c>
      <c r="P523" s="1" t="s">
        <v>6581</v>
      </c>
      <c r="Q523" s="1" t="s">
        <v>6582</v>
      </c>
      <c r="R523" s="1" t="s">
        <v>6583</v>
      </c>
      <c r="S523" s="1">
        <v>3000</v>
      </c>
      <c r="T523" s="1">
        <v>45774</v>
      </c>
      <c r="U523" s="1">
        <v>48774</v>
      </c>
      <c r="V523" s="1" t="s">
        <v>6584</v>
      </c>
      <c r="W523" s="129" t="s">
        <v>6585</v>
      </c>
      <c r="X523" t="s">
        <v>6586</v>
      </c>
      <c r="Y523" t="s">
        <v>644</v>
      </c>
      <c r="Z523" t="s">
        <v>645</v>
      </c>
    </row>
    <row r="524" spans="1:26" x14ac:dyDescent="0.3">
      <c r="A524" s="1" t="s">
        <v>6587</v>
      </c>
      <c r="B524" s="126" t="s">
        <v>5555</v>
      </c>
      <c r="C524" s="54" t="s">
        <v>2544</v>
      </c>
      <c r="D524" s="127" t="s">
        <v>1209</v>
      </c>
      <c r="E524" s="1">
        <v>65500</v>
      </c>
      <c r="F524" s="1">
        <v>41</v>
      </c>
      <c r="G524" s="1">
        <v>2475</v>
      </c>
      <c r="H524" s="1" t="s">
        <v>630</v>
      </c>
      <c r="I524" s="1" t="s">
        <v>6588</v>
      </c>
      <c r="J524" s="1" t="s">
        <v>6589</v>
      </c>
      <c r="K524" s="126" t="s">
        <v>6590</v>
      </c>
      <c r="L524" s="1" t="s">
        <v>6244</v>
      </c>
      <c r="M524" s="131">
        <v>635301</v>
      </c>
      <c r="N524" s="126" t="s">
        <v>5562</v>
      </c>
      <c r="O524" s="131">
        <v>9585327258</v>
      </c>
      <c r="P524" s="1" t="s">
        <v>6591</v>
      </c>
      <c r="Q524" s="1" t="s">
        <v>6592</v>
      </c>
      <c r="R524" s="1" t="s">
        <v>6593</v>
      </c>
      <c r="S524" s="1">
        <v>3000</v>
      </c>
      <c r="T524" s="1">
        <v>32439</v>
      </c>
      <c r="U524" s="1">
        <v>35439</v>
      </c>
      <c r="V524" s="1" t="s">
        <v>4048</v>
      </c>
      <c r="W524" s="129" t="s">
        <v>6594</v>
      </c>
      <c r="X524" t="s">
        <v>6595</v>
      </c>
      <c r="Y524" t="s">
        <v>644</v>
      </c>
      <c r="Z524" t="s">
        <v>645</v>
      </c>
    </row>
    <row r="525" spans="1:26" x14ac:dyDescent="0.3">
      <c r="A525" s="1" t="s">
        <v>6596</v>
      </c>
      <c r="B525" s="126" t="s">
        <v>5555</v>
      </c>
      <c r="C525" s="54" t="s">
        <v>2483</v>
      </c>
      <c r="D525" s="127" t="s">
        <v>6597</v>
      </c>
      <c r="E525" s="1">
        <v>52523</v>
      </c>
      <c r="F525" s="1">
        <v>24</v>
      </c>
      <c r="G525" s="1">
        <v>2894</v>
      </c>
      <c r="H525" s="1" t="s">
        <v>630</v>
      </c>
      <c r="I525" s="1" t="s">
        <v>6598</v>
      </c>
      <c r="J525" s="1" t="s">
        <v>6337</v>
      </c>
      <c r="K525" s="126" t="s">
        <v>6599</v>
      </c>
      <c r="L525" s="1" t="s">
        <v>5588</v>
      </c>
      <c r="M525" s="131">
        <v>612804</v>
      </c>
      <c r="N525" s="126" t="s">
        <v>5562</v>
      </c>
      <c r="O525" s="131">
        <v>6385911526</v>
      </c>
      <c r="P525" s="1" t="s">
        <v>6600</v>
      </c>
      <c r="Q525" s="1" t="s">
        <v>6601</v>
      </c>
      <c r="R525" s="1" t="s">
        <v>6602</v>
      </c>
      <c r="S525" s="1">
        <v>3000</v>
      </c>
      <c r="T525" s="1">
        <v>11576</v>
      </c>
      <c r="U525" s="1">
        <v>14576</v>
      </c>
      <c r="V525" s="1" t="s">
        <v>1078</v>
      </c>
      <c r="W525" s="129" t="s">
        <v>6603</v>
      </c>
      <c r="X525" t="s">
        <v>6604</v>
      </c>
      <c r="Y525" t="s">
        <v>644</v>
      </c>
      <c r="Z525" t="s">
        <v>645</v>
      </c>
    </row>
    <row r="526" spans="1:26" x14ac:dyDescent="0.3">
      <c r="A526" s="1" t="s">
        <v>6605</v>
      </c>
      <c r="B526" s="126" t="s">
        <v>5555</v>
      </c>
      <c r="C526" s="54" t="s">
        <v>2483</v>
      </c>
      <c r="D526" s="127" t="s">
        <v>4563</v>
      </c>
      <c r="E526" s="1">
        <v>61000</v>
      </c>
      <c r="F526" s="1">
        <v>36</v>
      </c>
      <c r="G526" s="1">
        <v>2569</v>
      </c>
      <c r="H526" s="1" t="s">
        <v>630</v>
      </c>
      <c r="I526" s="1" t="s">
        <v>6606</v>
      </c>
      <c r="J526" s="1" t="s">
        <v>6607</v>
      </c>
      <c r="K526" s="126" t="s">
        <v>6608</v>
      </c>
      <c r="L526" s="1" t="s">
        <v>5663</v>
      </c>
      <c r="M526" s="131">
        <v>628702</v>
      </c>
      <c r="N526" s="126" t="s">
        <v>5562</v>
      </c>
      <c r="O526" s="131">
        <v>8903197204</v>
      </c>
      <c r="P526" s="1" t="s">
        <v>6609</v>
      </c>
      <c r="Q526" s="1" t="s">
        <v>6610</v>
      </c>
      <c r="R526" s="1" t="s">
        <v>6611</v>
      </c>
      <c r="S526" s="1">
        <v>3000</v>
      </c>
      <c r="T526" s="1">
        <v>78667</v>
      </c>
      <c r="U526" s="1">
        <v>81667</v>
      </c>
      <c r="V526" s="1" t="s">
        <v>1078</v>
      </c>
      <c r="W526" s="129" t="s">
        <v>6612</v>
      </c>
      <c r="X526" t="s">
        <v>6613</v>
      </c>
      <c r="Y526" t="s">
        <v>644</v>
      </c>
      <c r="Z526" t="s">
        <v>645</v>
      </c>
    </row>
    <row r="527" spans="1:26" x14ac:dyDescent="0.3">
      <c r="A527" s="1" t="s">
        <v>6614</v>
      </c>
      <c r="B527" s="126" t="s">
        <v>5555</v>
      </c>
      <c r="C527" s="54" t="s">
        <v>2483</v>
      </c>
      <c r="D527" s="127" t="s">
        <v>6615</v>
      </c>
      <c r="E527" s="1">
        <v>68690</v>
      </c>
      <c r="F527" s="1">
        <v>36</v>
      </c>
      <c r="G527" s="1">
        <v>2909</v>
      </c>
      <c r="H527" s="1" t="s">
        <v>630</v>
      </c>
      <c r="I527" s="1" t="s">
        <v>6616</v>
      </c>
      <c r="J527" s="1" t="s">
        <v>6617</v>
      </c>
      <c r="K527" s="126" t="s">
        <v>6618</v>
      </c>
      <c r="L527" s="1" t="s">
        <v>5985</v>
      </c>
      <c r="M527" s="131">
        <v>609112</v>
      </c>
      <c r="N527" s="126" t="s">
        <v>5562</v>
      </c>
      <c r="O527" s="131">
        <v>9597316295</v>
      </c>
      <c r="P527" s="1" t="s">
        <v>6619</v>
      </c>
      <c r="Q527" s="1" t="s">
        <v>6620</v>
      </c>
      <c r="R527" s="1" t="s">
        <v>6621</v>
      </c>
      <c r="S527" s="1">
        <v>3000</v>
      </c>
      <c r="T527" s="1">
        <v>92445</v>
      </c>
      <c r="U527" s="1">
        <v>95445</v>
      </c>
      <c r="V527" s="1" t="s">
        <v>2312</v>
      </c>
      <c r="W527" s="129" t="s">
        <v>6622</v>
      </c>
      <c r="X527" t="s">
        <v>6623</v>
      </c>
      <c r="Y527" t="s">
        <v>644</v>
      </c>
      <c r="Z527" t="s">
        <v>645</v>
      </c>
    </row>
    <row r="528" spans="1:26" x14ac:dyDescent="0.3">
      <c r="A528" s="1" t="s">
        <v>6624</v>
      </c>
      <c r="B528" s="126" t="s">
        <v>5555</v>
      </c>
      <c r="C528" s="54" t="s">
        <v>2483</v>
      </c>
      <c r="D528" s="127" t="s">
        <v>1841</v>
      </c>
      <c r="E528" s="1">
        <v>65415</v>
      </c>
      <c r="F528" s="1">
        <v>31</v>
      </c>
      <c r="G528" s="1">
        <v>3495</v>
      </c>
      <c r="H528" s="1" t="s">
        <v>630</v>
      </c>
      <c r="I528" s="1" t="s">
        <v>6625</v>
      </c>
      <c r="J528" s="1" t="s">
        <v>6626</v>
      </c>
      <c r="K528" s="126" t="s">
        <v>6627</v>
      </c>
      <c r="L528" s="1" t="s">
        <v>5985</v>
      </c>
      <c r="M528" s="131">
        <v>609202</v>
      </c>
      <c r="N528" s="126" t="s">
        <v>5562</v>
      </c>
      <c r="O528" s="131">
        <v>9445114390</v>
      </c>
      <c r="P528" s="1" t="s">
        <v>6628</v>
      </c>
      <c r="Q528" s="1" t="s">
        <v>6629</v>
      </c>
      <c r="R528" s="1" t="s">
        <v>6630</v>
      </c>
      <c r="S528" s="1">
        <v>3000</v>
      </c>
      <c r="T528" s="1">
        <v>27067</v>
      </c>
      <c r="U528" s="1">
        <v>30067</v>
      </c>
      <c r="V528" s="1" t="s">
        <v>1318</v>
      </c>
      <c r="W528" s="129" t="s">
        <v>6631</v>
      </c>
      <c r="X528" t="s">
        <v>6632</v>
      </c>
      <c r="Y528" t="s">
        <v>644</v>
      </c>
      <c r="Z528" t="s">
        <v>645</v>
      </c>
    </row>
    <row r="529" spans="1:26" x14ac:dyDescent="0.3">
      <c r="A529" s="1" t="s">
        <v>6633</v>
      </c>
      <c r="B529" s="126" t="s">
        <v>5555</v>
      </c>
      <c r="C529" s="54" t="s">
        <v>1335</v>
      </c>
      <c r="D529" s="127" t="s">
        <v>6634</v>
      </c>
      <c r="E529" s="1">
        <v>55299</v>
      </c>
      <c r="F529" s="1">
        <v>24</v>
      </c>
      <c r="G529" s="1">
        <v>2950</v>
      </c>
      <c r="H529" s="1" t="s">
        <v>630</v>
      </c>
      <c r="I529" s="1" t="s">
        <v>6635</v>
      </c>
      <c r="J529" s="1" t="s">
        <v>6636</v>
      </c>
      <c r="K529" s="126" t="s">
        <v>6637</v>
      </c>
      <c r="L529" s="1" t="s">
        <v>6638</v>
      </c>
      <c r="M529" s="131">
        <v>630210</v>
      </c>
      <c r="N529" s="126" t="s">
        <v>5562</v>
      </c>
      <c r="O529" s="131">
        <v>8098085138</v>
      </c>
      <c r="P529" s="1" t="s">
        <v>6639</v>
      </c>
      <c r="Q529" s="1" t="s">
        <v>6640</v>
      </c>
      <c r="R529" s="1" t="s">
        <v>6641</v>
      </c>
      <c r="S529" s="1">
        <v>3000</v>
      </c>
      <c r="T529" s="1">
        <v>23368</v>
      </c>
      <c r="U529" s="1">
        <v>26368</v>
      </c>
      <c r="V529" s="1" t="s">
        <v>2083</v>
      </c>
      <c r="W529" s="129" t="s">
        <v>6642</v>
      </c>
      <c r="X529" t="s">
        <v>6643</v>
      </c>
      <c r="Y529" t="s">
        <v>644</v>
      </c>
      <c r="Z529" t="s">
        <v>645</v>
      </c>
    </row>
    <row r="530" spans="1:26" x14ac:dyDescent="0.3">
      <c r="A530" s="1" t="s">
        <v>6644</v>
      </c>
      <c r="B530" s="126" t="s">
        <v>5555</v>
      </c>
      <c r="C530" s="54" t="s">
        <v>1335</v>
      </c>
      <c r="D530" s="127" t="s">
        <v>6645</v>
      </c>
      <c r="E530" s="1">
        <v>48000</v>
      </c>
      <c r="F530" s="1">
        <v>37</v>
      </c>
      <c r="G530" s="1">
        <v>2500</v>
      </c>
      <c r="H530" s="1" t="s">
        <v>630</v>
      </c>
      <c r="I530" s="1" t="s">
        <v>6646</v>
      </c>
      <c r="J530" s="1" t="s">
        <v>5661</v>
      </c>
      <c r="K530" s="126" t="s">
        <v>6647</v>
      </c>
      <c r="L530" s="1" t="s">
        <v>5612</v>
      </c>
      <c r="M530" s="131">
        <v>600106</v>
      </c>
      <c r="N530" s="126" t="s">
        <v>5562</v>
      </c>
      <c r="O530" s="131">
        <v>9094850073</v>
      </c>
      <c r="P530" s="1" t="s">
        <v>6648</v>
      </c>
      <c r="Q530" s="1" t="s">
        <v>6649</v>
      </c>
      <c r="R530" s="1" t="s">
        <v>6650</v>
      </c>
      <c r="S530" s="1">
        <v>3000</v>
      </c>
      <c r="T530" s="1">
        <v>29775</v>
      </c>
      <c r="U530" s="1">
        <v>32775</v>
      </c>
      <c r="V530" s="1" t="s">
        <v>1005</v>
      </c>
      <c r="W530" s="129" t="s">
        <v>6651</v>
      </c>
      <c r="X530" t="s">
        <v>6652</v>
      </c>
      <c r="Y530" t="s">
        <v>644</v>
      </c>
      <c r="Z530" t="s">
        <v>645</v>
      </c>
    </row>
    <row r="531" spans="1:26" x14ac:dyDescent="0.3">
      <c r="A531" s="1" t="s">
        <v>6653</v>
      </c>
      <c r="B531" s="126" t="s">
        <v>5555</v>
      </c>
      <c r="C531" s="54" t="s">
        <v>2483</v>
      </c>
      <c r="D531" s="127" t="s">
        <v>6654</v>
      </c>
      <c r="E531" s="1">
        <v>51149</v>
      </c>
      <c r="F531" s="1">
        <v>26</v>
      </c>
      <c r="G531" s="1">
        <v>2692</v>
      </c>
      <c r="H531" s="1" t="s">
        <v>630</v>
      </c>
      <c r="I531" s="1" t="s">
        <v>6655</v>
      </c>
      <c r="J531" s="1" t="s">
        <v>6656</v>
      </c>
      <c r="K531" s="126" t="s">
        <v>6657</v>
      </c>
      <c r="L531" s="1" t="s">
        <v>6021</v>
      </c>
      <c r="M531" s="131">
        <v>626121</v>
      </c>
      <c r="N531" s="126" t="s">
        <v>5562</v>
      </c>
      <c r="O531" s="131">
        <v>9385246606</v>
      </c>
      <c r="P531" s="1" t="s">
        <v>6658</v>
      </c>
      <c r="Q531" s="1" t="s">
        <v>6659</v>
      </c>
      <c r="R531" s="1" t="s">
        <v>6660</v>
      </c>
      <c r="S531" s="1">
        <v>3000</v>
      </c>
      <c r="T531" s="1">
        <v>38362</v>
      </c>
      <c r="U531" s="1">
        <v>41362</v>
      </c>
      <c r="V531" s="1" t="s">
        <v>1078</v>
      </c>
      <c r="W531" s="129" t="s">
        <v>6661</v>
      </c>
      <c r="X531" t="s">
        <v>6662</v>
      </c>
      <c r="Y531" t="s">
        <v>644</v>
      </c>
      <c r="Z531" t="s">
        <v>645</v>
      </c>
    </row>
    <row r="532" spans="1:26" x14ac:dyDescent="0.3">
      <c r="A532" s="1" t="s">
        <v>6663</v>
      </c>
      <c r="B532" s="126" t="s">
        <v>5555</v>
      </c>
      <c r="C532" s="54" t="s">
        <v>2483</v>
      </c>
      <c r="D532" s="127" t="s">
        <v>2704</v>
      </c>
      <c r="E532" s="1">
        <v>55529</v>
      </c>
      <c r="F532" s="1">
        <v>24</v>
      </c>
      <c r="G532" s="1">
        <v>2948</v>
      </c>
      <c r="H532" s="1" t="s">
        <v>630</v>
      </c>
      <c r="I532" s="1" t="s">
        <v>6664</v>
      </c>
      <c r="J532" s="1" t="s">
        <v>6665</v>
      </c>
      <c r="K532" s="126" t="s">
        <v>6666</v>
      </c>
      <c r="L532" s="1" t="s">
        <v>5588</v>
      </c>
      <c r="M532" s="131">
        <v>612105</v>
      </c>
      <c r="N532" s="126" t="s">
        <v>5562</v>
      </c>
      <c r="O532" s="131">
        <v>8508444408</v>
      </c>
      <c r="P532" s="1" t="s">
        <v>6667</v>
      </c>
      <c r="Q532" s="1" t="s">
        <v>6668</v>
      </c>
      <c r="R532" s="1" t="s">
        <v>6669</v>
      </c>
      <c r="S532" s="1">
        <v>3000</v>
      </c>
      <c r="T532" s="1">
        <v>38337</v>
      </c>
      <c r="U532" s="1">
        <v>41337</v>
      </c>
      <c r="V532" s="1" t="s">
        <v>2083</v>
      </c>
      <c r="W532" s="129" t="s">
        <v>6670</v>
      </c>
      <c r="X532" t="s">
        <v>6671</v>
      </c>
      <c r="Y532" t="s">
        <v>644</v>
      </c>
      <c r="Z532" t="s">
        <v>645</v>
      </c>
    </row>
    <row r="533" spans="1:26" x14ac:dyDescent="0.3">
      <c r="A533" s="1" t="s">
        <v>6672</v>
      </c>
      <c r="B533" s="126" t="s">
        <v>5555</v>
      </c>
      <c r="C533" s="54" t="s">
        <v>1335</v>
      </c>
      <c r="D533" s="127" t="s">
        <v>6597</v>
      </c>
      <c r="E533" s="1">
        <v>52649</v>
      </c>
      <c r="F533" s="1">
        <v>24</v>
      </c>
      <c r="G533" s="1">
        <v>2896</v>
      </c>
      <c r="H533" s="1" t="s">
        <v>630</v>
      </c>
      <c r="I533" s="1" t="s">
        <v>6673</v>
      </c>
      <c r="J533" s="1" t="s">
        <v>6674</v>
      </c>
      <c r="K533" s="126" t="s">
        <v>6675</v>
      </c>
      <c r="L533" s="1" t="s">
        <v>5637</v>
      </c>
      <c r="M533" s="131">
        <v>624208</v>
      </c>
      <c r="N533" s="126" t="s">
        <v>5562</v>
      </c>
      <c r="O533" s="131">
        <v>9159067427</v>
      </c>
      <c r="P533" s="1" t="s">
        <v>6676</v>
      </c>
      <c r="Q533" s="1" t="s">
        <v>6677</v>
      </c>
      <c r="R533" s="1" t="s">
        <v>6678</v>
      </c>
      <c r="S533" s="1">
        <v>3000</v>
      </c>
      <c r="T533" s="1">
        <v>30969</v>
      </c>
      <c r="U533" s="1">
        <v>33969</v>
      </c>
      <c r="V533" s="1" t="s">
        <v>2083</v>
      </c>
      <c r="W533" s="129" t="s">
        <v>6679</v>
      </c>
      <c r="X533" t="s">
        <v>6680</v>
      </c>
      <c r="Y533" t="s">
        <v>644</v>
      </c>
      <c r="Z533" t="s">
        <v>645</v>
      </c>
    </row>
    <row r="534" spans="1:26" x14ac:dyDescent="0.3">
      <c r="A534" s="1" t="s">
        <v>6681</v>
      </c>
      <c r="B534" s="126" t="s">
        <v>5555</v>
      </c>
      <c r="C534" s="54" t="s">
        <v>2483</v>
      </c>
      <c r="D534" s="127" t="s">
        <v>6682</v>
      </c>
      <c r="E534" s="1">
        <v>65050</v>
      </c>
      <c r="F534" s="1">
        <v>30</v>
      </c>
      <c r="G534" s="1">
        <v>3112</v>
      </c>
      <c r="H534" s="1" t="s">
        <v>630</v>
      </c>
      <c r="I534" s="1" t="s">
        <v>6683</v>
      </c>
      <c r="J534" s="1" t="s">
        <v>6684</v>
      </c>
      <c r="K534" s="126" t="s">
        <v>6685</v>
      </c>
      <c r="L534" s="1" t="s">
        <v>5806</v>
      </c>
      <c r="M534" s="131">
        <v>627757</v>
      </c>
      <c r="N534" s="126" t="s">
        <v>5562</v>
      </c>
      <c r="O534" s="131">
        <v>8438543879</v>
      </c>
      <c r="P534" s="1" t="s">
        <v>6686</v>
      </c>
      <c r="Q534" s="1" t="s">
        <v>6687</v>
      </c>
      <c r="R534" s="1" t="s">
        <v>6688</v>
      </c>
      <c r="S534" s="1">
        <v>3000</v>
      </c>
      <c r="T534" s="1">
        <v>88838</v>
      </c>
      <c r="U534" s="1">
        <v>91838</v>
      </c>
      <c r="V534" s="1" t="s">
        <v>1078</v>
      </c>
      <c r="W534" s="129" t="s">
        <v>6689</v>
      </c>
      <c r="X534" t="s">
        <v>6690</v>
      </c>
      <c r="Y534" t="s">
        <v>644</v>
      </c>
      <c r="Z534" t="s">
        <v>645</v>
      </c>
    </row>
    <row r="535" spans="1:26" x14ac:dyDescent="0.3">
      <c r="A535" s="1" t="s">
        <v>6691</v>
      </c>
      <c r="B535" s="126" t="s">
        <v>5555</v>
      </c>
      <c r="C535" s="54" t="s">
        <v>2483</v>
      </c>
      <c r="D535" s="127" t="s">
        <v>6692</v>
      </c>
      <c r="E535" s="1">
        <v>62299</v>
      </c>
      <c r="F535" s="1">
        <v>28</v>
      </c>
      <c r="G535" s="1">
        <v>3323</v>
      </c>
      <c r="H535" s="1" t="s">
        <v>630</v>
      </c>
      <c r="I535" s="1" t="s">
        <v>6693</v>
      </c>
      <c r="J535" s="1" t="s">
        <v>6694</v>
      </c>
      <c r="K535" s="126" t="s">
        <v>6695</v>
      </c>
      <c r="L535" s="1" t="s">
        <v>6638</v>
      </c>
      <c r="M535" s="131">
        <v>623701</v>
      </c>
      <c r="N535" s="126" t="s">
        <v>5562</v>
      </c>
      <c r="O535" s="131">
        <v>8012532786</v>
      </c>
      <c r="P535" s="1" t="s">
        <v>6696</v>
      </c>
      <c r="Q535" s="1" t="s">
        <v>6697</v>
      </c>
      <c r="R535" s="1" t="s">
        <v>6698</v>
      </c>
      <c r="S535" s="1">
        <v>3000</v>
      </c>
      <c r="T535" s="1">
        <v>16952</v>
      </c>
      <c r="U535" s="1">
        <v>19952</v>
      </c>
      <c r="V535" s="1" t="s">
        <v>1019</v>
      </c>
      <c r="W535" s="129" t="s">
        <v>6699</v>
      </c>
      <c r="X535" t="s">
        <v>6700</v>
      </c>
      <c r="Y535" t="s">
        <v>644</v>
      </c>
      <c r="Z535" t="s">
        <v>645</v>
      </c>
    </row>
    <row r="536" spans="1:26" x14ac:dyDescent="0.3">
      <c r="A536" s="1" t="s">
        <v>6701</v>
      </c>
      <c r="B536" s="126" t="s">
        <v>5555</v>
      </c>
      <c r="C536" s="54" t="s">
        <v>2483</v>
      </c>
      <c r="D536" s="127" t="s">
        <v>6702</v>
      </c>
      <c r="E536" s="1">
        <v>59450</v>
      </c>
      <c r="F536" s="1">
        <v>36</v>
      </c>
      <c r="G536" s="1">
        <v>2469</v>
      </c>
      <c r="H536" s="1" t="s">
        <v>630</v>
      </c>
      <c r="I536" s="1" t="s">
        <v>6703</v>
      </c>
      <c r="J536" s="1" t="s">
        <v>6704</v>
      </c>
      <c r="K536" s="126" t="s">
        <v>6705</v>
      </c>
      <c r="L536" s="1" t="s">
        <v>5806</v>
      </c>
      <c r="M536" s="131">
        <v>627426</v>
      </c>
      <c r="N536" s="126" t="s">
        <v>5562</v>
      </c>
      <c r="O536" s="131">
        <v>8012263828</v>
      </c>
      <c r="P536" s="1" t="s">
        <v>6706</v>
      </c>
      <c r="Q536" s="1" t="s">
        <v>6707</v>
      </c>
      <c r="R536" s="1" t="s">
        <v>6708</v>
      </c>
      <c r="S536" s="1">
        <v>3000</v>
      </c>
      <c r="T536" s="1">
        <v>58793</v>
      </c>
      <c r="U536" s="1">
        <v>61793</v>
      </c>
      <c r="V536" s="1" t="s">
        <v>4611</v>
      </c>
      <c r="W536" s="129" t="s">
        <v>6709</v>
      </c>
      <c r="X536" t="s">
        <v>6710</v>
      </c>
      <c r="Y536" t="s">
        <v>644</v>
      </c>
      <c r="Z536" t="s">
        <v>645</v>
      </c>
    </row>
    <row r="537" spans="1:26" x14ac:dyDescent="0.3">
      <c r="A537" s="1" t="s">
        <v>6711</v>
      </c>
      <c r="B537" s="126" t="s">
        <v>5968</v>
      </c>
      <c r="C537" s="54" t="s">
        <v>1335</v>
      </c>
      <c r="D537" s="127" t="s">
        <v>6712</v>
      </c>
      <c r="E537" s="1">
        <v>66310</v>
      </c>
      <c r="F537" s="1">
        <v>24</v>
      </c>
      <c r="G537" s="1">
        <v>3537</v>
      </c>
      <c r="H537" s="1" t="s">
        <v>630</v>
      </c>
      <c r="I537" s="1" t="s">
        <v>6713</v>
      </c>
      <c r="J537" s="1" t="s">
        <v>6714</v>
      </c>
      <c r="K537" s="126" t="s">
        <v>6715</v>
      </c>
      <c r="L537" s="1" t="s">
        <v>5973</v>
      </c>
      <c r="M537" s="131">
        <v>608302</v>
      </c>
      <c r="N537" s="126" t="s">
        <v>5562</v>
      </c>
      <c r="O537" s="131">
        <v>6385874978</v>
      </c>
      <c r="P537" s="1" t="s">
        <v>6716</v>
      </c>
      <c r="Q537" s="1" t="s">
        <v>6717</v>
      </c>
      <c r="R537" s="1" t="s">
        <v>6718</v>
      </c>
      <c r="S537" s="1">
        <v>3000</v>
      </c>
      <c r="T537" s="1">
        <v>40560</v>
      </c>
      <c r="U537" s="1">
        <v>43560</v>
      </c>
      <c r="V537" s="1" t="s">
        <v>768</v>
      </c>
      <c r="W537" s="129" t="s">
        <v>6719</v>
      </c>
      <c r="X537" t="s">
        <v>6720</v>
      </c>
      <c r="Y537" t="s">
        <v>644</v>
      </c>
      <c r="Z537" t="s">
        <v>645</v>
      </c>
    </row>
    <row r="538" spans="1:26" x14ac:dyDescent="0.3">
      <c r="A538" s="1" t="s">
        <v>6721</v>
      </c>
      <c r="B538" s="126" t="s">
        <v>3613</v>
      </c>
      <c r="C538" s="54" t="s">
        <v>2565</v>
      </c>
      <c r="D538" s="127" t="s">
        <v>4418</v>
      </c>
      <c r="E538" s="1">
        <v>54899</v>
      </c>
      <c r="F538" s="1">
        <v>15</v>
      </c>
      <c r="G538" s="1">
        <v>3980</v>
      </c>
      <c r="H538" s="1" t="s">
        <v>630</v>
      </c>
      <c r="I538" s="1" t="s">
        <v>6722</v>
      </c>
      <c r="J538" s="1" t="s">
        <v>6723</v>
      </c>
      <c r="K538" s="126" t="s">
        <v>6724</v>
      </c>
      <c r="L538" s="1" t="s">
        <v>6115</v>
      </c>
      <c r="M538" s="131">
        <v>635114</v>
      </c>
      <c r="N538" s="126" t="s">
        <v>5562</v>
      </c>
      <c r="O538" s="131">
        <v>7010963384</v>
      </c>
      <c r="P538" s="1" t="s">
        <v>6725</v>
      </c>
      <c r="Q538" s="1" t="s">
        <v>6726</v>
      </c>
      <c r="R538" s="1" t="s">
        <v>6727</v>
      </c>
      <c r="S538" s="1">
        <v>3000</v>
      </c>
      <c r="T538" s="1">
        <v>24305</v>
      </c>
      <c r="U538" s="1">
        <v>27305</v>
      </c>
      <c r="V538" s="1" t="s">
        <v>3797</v>
      </c>
      <c r="W538" s="129" t="s">
        <v>6728</v>
      </c>
      <c r="X538" t="s">
        <v>6729</v>
      </c>
      <c r="Y538" t="s">
        <v>644</v>
      </c>
      <c r="Z538" t="s">
        <v>645</v>
      </c>
    </row>
    <row r="539" spans="1:26" x14ac:dyDescent="0.3">
      <c r="A539" s="1" t="s">
        <v>6730</v>
      </c>
      <c r="B539" s="126" t="s">
        <v>5555</v>
      </c>
      <c r="C539" s="1" t="s">
        <v>682</v>
      </c>
      <c r="D539" s="127" t="s">
        <v>6731</v>
      </c>
      <c r="E539" s="1">
        <v>78100</v>
      </c>
      <c r="F539" s="1">
        <v>46</v>
      </c>
      <c r="G539" s="1">
        <v>3411</v>
      </c>
      <c r="H539" s="1" t="s">
        <v>630</v>
      </c>
      <c r="I539" s="1" t="s">
        <v>6732</v>
      </c>
      <c r="J539" s="1" t="s">
        <v>6733</v>
      </c>
      <c r="K539" s="126" t="s">
        <v>6734</v>
      </c>
      <c r="L539" s="1" t="s">
        <v>5889</v>
      </c>
      <c r="M539" s="131">
        <v>601204</v>
      </c>
      <c r="N539" s="126" t="s">
        <v>5562</v>
      </c>
      <c r="O539" s="131">
        <v>9384338544</v>
      </c>
      <c r="P539" s="1" t="s">
        <v>6735</v>
      </c>
      <c r="Q539" s="1" t="s">
        <v>6736</v>
      </c>
      <c r="R539" s="1" t="s">
        <v>6737</v>
      </c>
      <c r="S539" s="1">
        <v>0</v>
      </c>
      <c r="T539" s="1">
        <v>64302</v>
      </c>
      <c r="U539" s="1">
        <v>64302</v>
      </c>
      <c r="V539" s="1" t="s">
        <v>1318</v>
      </c>
      <c r="W539" s="129" t="s">
        <v>6738</v>
      </c>
      <c r="X539" t="s">
        <v>6739</v>
      </c>
      <c r="Y539" t="s">
        <v>644</v>
      </c>
      <c r="Z539" t="s">
        <v>645</v>
      </c>
    </row>
    <row r="540" spans="1:26" x14ac:dyDescent="0.3">
      <c r="A540" s="1" t="s">
        <v>6740</v>
      </c>
      <c r="B540" s="126" t="s">
        <v>5555</v>
      </c>
      <c r="C540" s="54" t="s">
        <v>2483</v>
      </c>
      <c r="D540" s="127" t="s">
        <v>6741</v>
      </c>
      <c r="E540" s="1">
        <v>60994</v>
      </c>
      <c r="F540" s="1">
        <v>24</v>
      </c>
      <c r="G540" s="1">
        <v>3398</v>
      </c>
      <c r="H540" s="1" t="s">
        <v>630</v>
      </c>
      <c r="I540" s="1" t="s">
        <v>6742</v>
      </c>
      <c r="J540" s="1" t="s">
        <v>6743</v>
      </c>
      <c r="K540" s="126" t="s">
        <v>6744</v>
      </c>
      <c r="L540" s="1" t="s">
        <v>5985</v>
      </c>
      <c r="M540" s="131">
        <v>609310</v>
      </c>
      <c r="N540" s="126" t="s">
        <v>5562</v>
      </c>
      <c r="O540" s="131">
        <v>8270267043</v>
      </c>
      <c r="P540" s="1" t="s">
        <v>6745</v>
      </c>
      <c r="Q540" s="1" t="s">
        <v>6746</v>
      </c>
      <c r="R540" s="1" t="s">
        <v>6747</v>
      </c>
      <c r="S540" s="1">
        <v>3000</v>
      </c>
      <c r="T540" s="1">
        <v>58931</v>
      </c>
      <c r="U540" s="1">
        <v>61931</v>
      </c>
      <c r="V540" s="1" t="s">
        <v>5199</v>
      </c>
      <c r="W540" s="129" t="s">
        <v>6748</v>
      </c>
      <c r="X540" t="s">
        <v>6749</v>
      </c>
      <c r="Y540" t="s">
        <v>644</v>
      </c>
      <c r="Z540" t="s">
        <v>645</v>
      </c>
    </row>
    <row r="541" spans="1:26" x14ac:dyDescent="0.3">
      <c r="A541" s="1" t="s">
        <v>6750</v>
      </c>
      <c r="B541" s="126" t="s">
        <v>5555</v>
      </c>
      <c r="C541" s="54" t="s">
        <v>1335</v>
      </c>
      <c r="D541" s="127" t="s">
        <v>6751</v>
      </c>
      <c r="E541" s="1">
        <v>88039</v>
      </c>
      <c r="F541" s="1">
        <v>30</v>
      </c>
      <c r="G541" s="1">
        <v>4149</v>
      </c>
      <c r="H541" s="1" t="s">
        <v>630</v>
      </c>
      <c r="I541" s="1" t="s">
        <v>6752</v>
      </c>
      <c r="J541" s="1" t="s">
        <v>6337</v>
      </c>
      <c r="K541" s="126" t="s">
        <v>6753</v>
      </c>
      <c r="L541" s="1" t="s">
        <v>5575</v>
      </c>
      <c r="M541" s="131">
        <v>613703</v>
      </c>
      <c r="N541" s="126" t="s">
        <v>5562</v>
      </c>
      <c r="O541" s="131">
        <v>7812841104</v>
      </c>
      <c r="P541" s="1" t="s">
        <v>6754</v>
      </c>
      <c r="Q541" s="1" t="s">
        <v>6755</v>
      </c>
      <c r="R541" s="1" t="s">
        <v>6756</v>
      </c>
      <c r="S541" s="1">
        <v>3000</v>
      </c>
      <c r="T541" s="1">
        <v>100649</v>
      </c>
      <c r="U541" s="1">
        <v>103649</v>
      </c>
      <c r="V541" s="1" t="s">
        <v>641</v>
      </c>
      <c r="W541" s="129" t="s">
        <v>6757</v>
      </c>
      <c r="X541" t="s">
        <v>6758</v>
      </c>
      <c r="Y541" t="s">
        <v>644</v>
      </c>
      <c r="Z541" t="s">
        <v>645</v>
      </c>
    </row>
    <row r="542" spans="1:26" x14ac:dyDescent="0.3">
      <c r="A542" s="1" t="s">
        <v>6759</v>
      </c>
      <c r="B542" s="126" t="s">
        <v>5555</v>
      </c>
      <c r="C542" s="54" t="s">
        <v>1335</v>
      </c>
      <c r="D542" s="127" t="s">
        <v>6760</v>
      </c>
      <c r="E542" s="1">
        <v>80000</v>
      </c>
      <c r="F542" s="1">
        <v>35</v>
      </c>
      <c r="G542" s="1">
        <v>3524</v>
      </c>
      <c r="H542" s="1" t="s">
        <v>630</v>
      </c>
      <c r="I542" s="1" t="s">
        <v>6761</v>
      </c>
      <c r="J542" s="1" t="s">
        <v>6762</v>
      </c>
      <c r="K542" s="126" t="s">
        <v>6763</v>
      </c>
      <c r="L542" s="1" t="s">
        <v>5612</v>
      </c>
      <c r="M542" s="131">
        <v>600107</v>
      </c>
      <c r="N542" s="126" t="s">
        <v>5562</v>
      </c>
      <c r="O542" s="131">
        <v>9600052700</v>
      </c>
      <c r="P542" s="1" t="s">
        <v>6764</v>
      </c>
      <c r="Q542" s="1" t="s">
        <v>6765</v>
      </c>
      <c r="R542" s="1" t="s">
        <v>6766</v>
      </c>
      <c r="S542" s="1">
        <v>3000</v>
      </c>
      <c r="T542" s="1">
        <v>55821</v>
      </c>
      <c r="U542" s="1">
        <v>58821</v>
      </c>
      <c r="V542" s="1" t="s">
        <v>3987</v>
      </c>
      <c r="W542" s="129" t="s">
        <v>6767</v>
      </c>
      <c r="X542" t="s">
        <v>6768</v>
      </c>
      <c r="Y542" t="s">
        <v>644</v>
      </c>
      <c r="Z542" t="s">
        <v>645</v>
      </c>
    </row>
    <row r="543" spans="1:26" x14ac:dyDescent="0.3">
      <c r="A543" s="1" t="s">
        <v>6769</v>
      </c>
      <c r="B543" s="126" t="s">
        <v>5555</v>
      </c>
      <c r="C543" s="54" t="s">
        <v>2483</v>
      </c>
      <c r="D543" s="127" t="s">
        <v>2088</v>
      </c>
      <c r="E543" s="1">
        <v>57909</v>
      </c>
      <c r="F543" s="1">
        <v>36</v>
      </c>
      <c r="G543" s="1">
        <v>2439</v>
      </c>
      <c r="H543" s="1" t="s">
        <v>630</v>
      </c>
      <c r="I543" s="1" t="s">
        <v>6770</v>
      </c>
      <c r="J543" s="1" t="s">
        <v>6771</v>
      </c>
      <c r="K543" s="126" t="s">
        <v>6772</v>
      </c>
      <c r="L543" s="1" t="s">
        <v>5985</v>
      </c>
      <c r="M543" s="131">
        <v>609107</v>
      </c>
      <c r="N543" s="126" t="s">
        <v>5562</v>
      </c>
      <c r="O543" s="131">
        <v>8667009399</v>
      </c>
      <c r="P543" s="1" t="s">
        <v>6773</v>
      </c>
      <c r="Q543" s="1" t="s">
        <v>6774</v>
      </c>
      <c r="R543" s="1" t="s">
        <v>6775</v>
      </c>
      <c r="S543" s="1">
        <v>3000</v>
      </c>
      <c r="T543" s="1">
        <v>78849</v>
      </c>
      <c r="U543" s="1">
        <v>81849</v>
      </c>
      <c r="V543" s="1" t="s">
        <v>1078</v>
      </c>
      <c r="W543" s="129" t="s">
        <v>6776</v>
      </c>
      <c r="X543" t="s">
        <v>6777</v>
      </c>
      <c r="Y543" t="s">
        <v>644</v>
      </c>
      <c r="Z543" t="s">
        <v>645</v>
      </c>
    </row>
    <row r="544" spans="1:26" x14ac:dyDescent="0.3">
      <c r="A544" s="1" t="s">
        <v>6778</v>
      </c>
      <c r="B544" s="126" t="s">
        <v>5555</v>
      </c>
      <c r="C544" s="54" t="s">
        <v>2483</v>
      </c>
      <c r="D544" s="127" t="s">
        <v>6779</v>
      </c>
      <c r="E544" s="1">
        <v>68649</v>
      </c>
      <c r="F544" s="1">
        <v>24</v>
      </c>
      <c r="G544" s="1">
        <v>3848</v>
      </c>
      <c r="H544" s="1" t="s">
        <v>630</v>
      </c>
      <c r="I544" s="1" t="s">
        <v>6780</v>
      </c>
      <c r="J544" s="1" t="s">
        <v>6781</v>
      </c>
      <c r="K544" s="126" t="s">
        <v>6782</v>
      </c>
      <c r="L544" s="1" t="s">
        <v>5806</v>
      </c>
      <c r="M544" s="131">
        <v>627756</v>
      </c>
      <c r="N544" s="126" t="s">
        <v>5562</v>
      </c>
      <c r="O544" s="131">
        <v>9150550591</v>
      </c>
      <c r="P544" s="1" t="s">
        <v>6783</v>
      </c>
      <c r="Q544" s="1" t="s">
        <v>6784</v>
      </c>
      <c r="R544" s="1" t="s">
        <v>6785</v>
      </c>
      <c r="S544" s="1">
        <v>3000</v>
      </c>
      <c r="T544" s="1">
        <v>68049</v>
      </c>
      <c r="U544" s="1">
        <v>71049</v>
      </c>
      <c r="V544" s="1" t="s">
        <v>870</v>
      </c>
      <c r="W544" s="129" t="s">
        <v>6786</v>
      </c>
      <c r="X544" t="s">
        <v>6787</v>
      </c>
      <c r="Y544" t="s">
        <v>644</v>
      </c>
      <c r="Z544" t="s">
        <v>645</v>
      </c>
    </row>
    <row r="545" spans="1:26" x14ac:dyDescent="0.3">
      <c r="A545" s="1" t="s">
        <v>6788</v>
      </c>
      <c r="B545" s="126" t="s">
        <v>5555</v>
      </c>
      <c r="C545" s="1" t="s">
        <v>682</v>
      </c>
      <c r="D545" s="127" t="s">
        <v>6789</v>
      </c>
      <c r="E545" s="1">
        <v>59000</v>
      </c>
      <c r="F545" s="1">
        <v>24</v>
      </c>
      <c r="G545" s="1">
        <v>3078</v>
      </c>
      <c r="H545" s="1" t="s">
        <v>630</v>
      </c>
      <c r="I545" s="1" t="s">
        <v>6790</v>
      </c>
      <c r="J545" s="1" t="s">
        <v>6791</v>
      </c>
      <c r="K545" s="126" t="s">
        <v>6792</v>
      </c>
      <c r="L545" s="1" t="s">
        <v>6793</v>
      </c>
      <c r="M545" s="131">
        <v>637209</v>
      </c>
      <c r="N545" s="126" t="s">
        <v>5562</v>
      </c>
      <c r="O545" s="131">
        <v>8072395556</v>
      </c>
      <c r="P545" s="1" t="s">
        <v>6794</v>
      </c>
      <c r="Q545" s="1" t="s">
        <v>6795</v>
      </c>
      <c r="R545" s="1" t="s">
        <v>6796</v>
      </c>
      <c r="S545" s="1">
        <v>3000</v>
      </c>
      <c r="T545" s="1">
        <v>86670</v>
      </c>
      <c r="U545" s="1">
        <v>89670</v>
      </c>
      <c r="V545" s="1" t="s">
        <v>3650</v>
      </c>
      <c r="W545" s="129" t="s">
        <v>6797</v>
      </c>
      <c r="X545" t="s">
        <v>6798</v>
      </c>
      <c r="Y545" t="s">
        <v>644</v>
      </c>
      <c r="Z545" t="s">
        <v>645</v>
      </c>
    </row>
    <row r="546" spans="1:26" x14ac:dyDescent="0.3">
      <c r="A546" s="1" t="s">
        <v>6799</v>
      </c>
      <c r="B546" s="126" t="s">
        <v>5555</v>
      </c>
      <c r="C546" s="54" t="s">
        <v>2483</v>
      </c>
      <c r="D546" s="127" t="s">
        <v>6800</v>
      </c>
      <c r="E546" s="1">
        <v>56064</v>
      </c>
      <c r="F546" s="1">
        <v>30</v>
      </c>
      <c r="G546" s="1">
        <v>2640</v>
      </c>
      <c r="H546" s="1" t="s">
        <v>630</v>
      </c>
      <c r="I546" s="1" t="s">
        <v>6801</v>
      </c>
      <c r="J546" s="1" t="s">
        <v>6802</v>
      </c>
      <c r="K546" s="126" t="s">
        <v>6803</v>
      </c>
      <c r="L546" s="1" t="s">
        <v>5985</v>
      </c>
      <c r="M546" s="131">
        <v>609802</v>
      </c>
      <c r="N546" s="126" t="s">
        <v>5562</v>
      </c>
      <c r="O546" s="131">
        <v>7094618595</v>
      </c>
      <c r="P546" s="1" t="s">
        <v>6804</v>
      </c>
      <c r="Q546" s="1" t="s">
        <v>6805</v>
      </c>
      <c r="R546" s="1" t="s">
        <v>6806</v>
      </c>
      <c r="S546" s="1">
        <v>3000</v>
      </c>
      <c r="T546" s="1">
        <v>57189</v>
      </c>
      <c r="U546" s="1">
        <v>60189</v>
      </c>
      <c r="V546" s="1" t="s">
        <v>5199</v>
      </c>
      <c r="W546" s="129" t="s">
        <v>6807</v>
      </c>
      <c r="X546" t="s">
        <v>6808</v>
      </c>
      <c r="Y546" t="s">
        <v>644</v>
      </c>
      <c r="Z546" t="s">
        <v>645</v>
      </c>
    </row>
    <row r="547" spans="1:26" x14ac:dyDescent="0.3">
      <c r="A547" s="1" t="s">
        <v>6809</v>
      </c>
      <c r="B547" s="126" t="s">
        <v>5555</v>
      </c>
      <c r="C547" s="54" t="s">
        <v>1335</v>
      </c>
      <c r="D547" s="127" t="s">
        <v>6810</v>
      </c>
      <c r="E547" s="1">
        <v>64749</v>
      </c>
      <c r="F547" s="1">
        <v>24</v>
      </c>
      <c r="G547" s="1">
        <v>3473</v>
      </c>
      <c r="H547" s="1" t="s">
        <v>630</v>
      </c>
      <c r="I547" s="1" t="s">
        <v>6811</v>
      </c>
      <c r="J547" s="1" t="s">
        <v>6579</v>
      </c>
      <c r="K547" s="126" t="s">
        <v>6812</v>
      </c>
      <c r="L547" s="1" t="s">
        <v>6638</v>
      </c>
      <c r="M547" s="131">
        <v>630302</v>
      </c>
      <c r="N547" s="126" t="s">
        <v>5562</v>
      </c>
      <c r="O547" s="131">
        <v>8940717036</v>
      </c>
      <c r="P547" s="1" t="s">
        <v>6813</v>
      </c>
      <c r="Q547" s="1" t="s">
        <v>6814</v>
      </c>
      <c r="R547" s="1" t="s">
        <v>6815</v>
      </c>
      <c r="S547" s="1">
        <v>3000</v>
      </c>
      <c r="T547" s="1">
        <v>81040</v>
      </c>
      <c r="U547" s="1">
        <v>84040</v>
      </c>
      <c r="V547" s="1" t="s">
        <v>2347</v>
      </c>
      <c r="W547" s="129" t="s">
        <v>6816</v>
      </c>
      <c r="X547" t="s">
        <v>6817</v>
      </c>
      <c r="Y547" t="s">
        <v>644</v>
      </c>
      <c r="Z547" t="s">
        <v>645</v>
      </c>
    </row>
    <row r="548" spans="1:26" x14ac:dyDescent="0.3">
      <c r="A548" s="1" t="s">
        <v>6818</v>
      </c>
      <c r="B548" s="126" t="s">
        <v>5555</v>
      </c>
      <c r="C548" s="1" t="s">
        <v>682</v>
      </c>
      <c r="D548" s="127" t="s">
        <v>6819</v>
      </c>
      <c r="E548" s="1">
        <v>72599</v>
      </c>
      <c r="F548" s="1">
        <v>30</v>
      </c>
      <c r="G548" s="1">
        <v>3255</v>
      </c>
      <c r="H548" s="1" t="s">
        <v>630</v>
      </c>
      <c r="I548" s="1" t="s">
        <v>6820</v>
      </c>
      <c r="J548" s="1" t="s">
        <v>6821</v>
      </c>
      <c r="K548" s="126" t="s">
        <v>6822</v>
      </c>
      <c r="L548" s="1" t="s">
        <v>6115</v>
      </c>
      <c r="M548" s="131">
        <v>635203</v>
      </c>
      <c r="N548" s="126" t="s">
        <v>5562</v>
      </c>
      <c r="O548" s="131">
        <v>9600413620</v>
      </c>
      <c r="P548" s="1" t="s">
        <v>6823</v>
      </c>
      <c r="Q548" s="1" t="s">
        <v>6824</v>
      </c>
      <c r="R548" s="1" t="s">
        <v>6825</v>
      </c>
      <c r="S548" s="1">
        <v>3000</v>
      </c>
      <c r="T548" s="1">
        <v>89044</v>
      </c>
      <c r="U548" s="1">
        <v>92044</v>
      </c>
      <c r="V548" s="1" t="s">
        <v>5655</v>
      </c>
      <c r="W548" s="129" t="s">
        <v>6826</v>
      </c>
      <c r="X548" t="s">
        <v>6827</v>
      </c>
      <c r="Y548" t="s">
        <v>644</v>
      </c>
      <c r="Z548" t="s">
        <v>645</v>
      </c>
    </row>
    <row r="549" spans="1:26" x14ac:dyDescent="0.3">
      <c r="A549" s="1" t="s">
        <v>6828</v>
      </c>
      <c r="B549" s="126" t="s">
        <v>5555</v>
      </c>
      <c r="C549" s="54" t="s">
        <v>2483</v>
      </c>
      <c r="D549" s="127" t="s">
        <v>2421</v>
      </c>
      <c r="E549" s="1">
        <v>115989</v>
      </c>
      <c r="F549" s="1">
        <v>48</v>
      </c>
      <c r="G549" s="1">
        <v>3867</v>
      </c>
      <c r="H549" s="1" t="s">
        <v>630</v>
      </c>
      <c r="I549" s="1" t="s">
        <v>6829</v>
      </c>
      <c r="J549" s="1" t="s">
        <v>6830</v>
      </c>
      <c r="K549" s="126" t="s">
        <v>6831</v>
      </c>
      <c r="L549" s="1" t="s">
        <v>5783</v>
      </c>
      <c r="M549" s="131">
        <v>637101</v>
      </c>
      <c r="N549" s="126" t="s">
        <v>5562</v>
      </c>
      <c r="O549" s="131">
        <v>8608297016</v>
      </c>
      <c r="P549" s="1" t="s">
        <v>6832</v>
      </c>
      <c r="Q549" s="1" t="s">
        <v>6833</v>
      </c>
      <c r="R549" s="1" t="s">
        <v>6834</v>
      </c>
      <c r="S549" s="1">
        <v>3000</v>
      </c>
      <c r="T549" s="1">
        <v>175121</v>
      </c>
      <c r="U549" s="1">
        <v>178121</v>
      </c>
      <c r="V549" s="1" t="s">
        <v>6835</v>
      </c>
      <c r="W549" s="129" t="s">
        <v>6836</v>
      </c>
      <c r="X549" t="s">
        <v>6837</v>
      </c>
      <c r="Y549" t="s">
        <v>644</v>
      </c>
      <c r="Z549" t="s">
        <v>645</v>
      </c>
    </row>
    <row r="550" spans="1:26" x14ac:dyDescent="0.3">
      <c r="A550" s="1" t="s">
        <v>6838</v>
      </c>
      <c r="B550" s="126" t="s">
        <v>5555</v>
      </c>
      <c r="C550" s="54" t="s">
        <v>2544</v>
      </c>
      <c r="D550" s="127" t="s">
        <v>6839</v>
      </c>
      <c r="E550" s="1">
        <v>72199</v>
      </c>
      <c r="F550" s="1">
        <v>36</v>
      </c>
      <c r="G550" s="1">
        <v>2902</v>
      </c>
      <c r="H550" s="1" t="s">
        <v>630</v>
      </c>
      <c r="I550" s="1" t="s">
        <v>6840</v>
      </c>
      <c r="J550" s="1" t="s">
        <v>6841</v>
      </c>
      <c r="K550" s="126" t="s">
        <v>6842</v>
      </c>
      <c r="L550" s="1" t="s">
        <v>5783</v>
      </c>
      <c r="M550" s="131">
        <v>636306</v>
      </c>
      <c r="N550" s="126" t="s">
        <v>5562</v>
      </c>
      <c r="O550" s="131">
        <v>8870436070</v>
      </c>
      <c r="P550" s="1" t="s">
        <v>6843</v>
      </c>
      <c r="Q550" s="1" t="s">
        <v>6844</v>
      </c>
      <c r="R550" s="1" t="s">
        <v>6845</v>
      </c>
      <c r="S550" s="1">
        <v>3000</v>
      </c>
      <c r="T550" s="1">
        <v>61778</v>
      </c>
      <c r="U550" s="1">
        <v>64778</v>
      </c>
      <c r="V550" s="1" t="s">
        <v>978</v>
      </c>
      <c r="W550" s="129" t="s">
        <v>6846</v>
      </c>
      <c r="X550" t="s">
        <v>6847</v>
      </c>
      <c r="Y550" t="s">
        <v>644</v>
      </c>
      <c r="Z550" t="s">
        <v>645</v>
      </c>
    </row>
    <row r="551" spans="1:26" x14ac:dyDescent="0.3">
      <c r="A551" s="1" t="s">
        <v>6848</v>
      </c>
      <c r="B551" s="126" t="s">
        <v>5555</v>
      </c>
      <c r="C551" s="54" t="s">
        <v>2544</v>
      </c>
      <c r="D551" s="127" t="s">
        <v>629</v>
      </c>
      <c r="E551" s="1">
        <v>75499</v>
      </c>
      <c r="F551" s="1">
        <v>36</v>
      </c>
      <c r="G551" s="1">
        <v>2997</v>
      </c>
      <c r="H551" s="1" t="s">
        <v>630</v>
      </c>
      <c r="I551" s="1" t="s">
        <v>6849</v>
      </c>
      <c r="J551" s="1" t="s">
        <v>6850</v>
      </c>
      <c r="K551" s="126" t="s">
        <v>6851</v>
      </c>
      <c r="L551" s="1" t="s">
        <v>5783</v>
      </c>
      <c r="M551" s="131">
        <v>636115</v>
      </c>
      <c r="N551" s="126" t="s">
        <v>5562</v>
      </c>
      <c r="O551" s="131">
        <v>8110967481</v>
      </c>
      <c r="P551" s="1" t="s">
        <v>6852</v>
      </c>
      <c r="Q551" s="1" t="s">
        <v>6853</v>
      </c>
      <c r="R551" s="1" t="s">
        <v>6854</v>
      </c>
      <c r="S551" s="1">
        <v>3000</v>
      </c>
      <c r="T551" s="1">
        <v>71068</v>
      </c>
      <c r="U551" s="1">
        <v>74068</v>
      </c>
      <c r="V551" s="1" t="s">
        <v>978</v>
      </c>
      <c r="W551" s="129" t="s">
        <v>6855</v>
      </c>
      <c r="X551" t="s">
        <v>6856</v>
      </c>
      <c r="Y551" t="s">
        <v>644</v>
      </c>
      <c r="Z551" t="s">
        <v>645</v>
      </c>
    </row>
    <row r="552" spans="1:26" x14ac:dyDescent="0.3">
      <c r="A552" s="1" t="s">
        <v>6857</v>
      </c>
      <c r="B552" s="126" t="s">
        <v>5555</v>
      </c>
      <c r="C552" s="54" t="s">
        <v>2483</v>
      </c>
      <c r="D552" s="127" t="s">
        <v>5708</v>
      </c>
      <c r="E552" s="1">
        <v>63684</v>
      </c>
      <c r="F552" s="1">
        <v>30</v>
      </c>
      <c r="G552" s="1">
        <v>2893</v>
      </c>
      <c r="H552" s="1" t="s">
        <v>630</v>
      </c>
      <c r="I552" s="1" t="s">
        <v>6858</v>
      </c>
      <c r="J552" s="1" t="s">
        <v>6859</v>
      </c>
      <c r="K552" s="126" t="s">
        <v>6860</v>
      </c>
      <c r="L552" s="1" t="s">
        <v>6793</v>
      </c>
      <c r="M552" s="131">
        <v>637401</v>
      </c>
      <c r="N552" s="126" t="s">
        <v>5562</v>
      </c>
      <c r="O552" s="131">
        <v>9789716401</v>
      </c>
      <c r="P552" s="1" t="s">
        <v>6861</v>
      </c>
      <c r="Q552" s="1" t="s">
        <v>6862</v>
      </c>
      <c r="R552" s="1" t="s">
        <v>6863</v>
      </c>
      <c r="S552" s="1">
        <v>3000</v>
      </c>
      <c r="T552" s="1">
        <v>57512</v>
      </c>
      <c r="U552" s="1">
        <v>60512</v>
      </c>
      <c r="V552" s="1" t="s">
        <v>4611</v>
      </c>
      <c r="W552" s="129" t="s">
        <v>6864</v>
      </c>
      <c r="X552" t="s">
        <v>6865</v>
      </c>
      <c r="Y552" t="s">
        <v>644</v>
      </c>
      <c r="Z552" t="s">
        <v>645</v>
      </c>
    </row>
    <row r="553" spans="1:26" x14ac:dyDescent="0.3">
      <c r="A553" s="126" t="s">
        <v>6866</v>
      </c>
      <c r="B553" s="126" t="s">
        <v>6867</v>
      </c>
      <c r="C553" s="54" t="s">
        <v>628</v>
      </c>
      <c r="D553" s="127" t="s">
        <v>6868</v>
      </c>
      <c r="E553" s="126">
        <v>45000</v>
      </c>
      <c r="F553" s="126">
        <v>40</v>
      </c>
      <c r="G553" s="126">
        <v>1981</v>
      </c>
      <c r="H553" s="126" t="s">
        <v>630</v>
      </c>
      <c r="I553" s="126" t="s">
        <v>6869</v>
      </c>
      <c r="J553" s="126" t="s">
        <v>6870</v>
      </c>
      <c r="K553" s="126" t="s">
        <v>6871</v>
      </c>
      <c r="L553" s="126" t="s">
        <v>6872</v>
      </c>
      <c r="M553" s="128" t="s">
        <v>6873</v>
      </c>
      <c r="N553" s="126" t="s">
        <v>6874</v>
      </c>
      <c r="O553" s="128" t="s">
        <v>6875</v>
      </c>
      <c r="P553" s="126" t="s">
        <v>6876</v>
      </c>
      <c r="Q553" s="126" t="s">
        <v>6877</v>
      </c>
      <c r="R553" s="126" t="s">
        <v>6878</v>
      </c>
      <c r="S553" s="126">
        <v>3000</v>
      </c>
      <c r="T553" s="126">
        <v>49705</v>
      </c>
      <c r="U553" s="126">
        <v>52705</v>
      </c>
      <c r="V553" s="126" t="s">
        <v>1675</v>
      </c>
      <c r="W553" s="129" t="s">
        <v>6879</v>
      </c>
      <c r="X553" t="s">
        <v>6880</v>
      </c>
      <c r="Y553" t="s">
        <v>644</v>
      </c>
      <c r="Z553" t="s">
        <v>645</v>
      </c>
    </row>
    <row r="554" spans="1:26" x14ac:dyDescent="0.3">
      <c r="A554" s="126" t="s">
        <v>6881</v>
      </c>
      <c r="B554" s="126" t="s">
        <v>6867</v>
      </c>
      <c r="C554" s="54" t="s">
        <v>702</v>
      </c>
      <c r="D554" s="127" t="s">
        <v>6882</v>
      </c>
      <c r="E554" s="126">
        <v>78100</v>
      </c>
      <c r="F554" s="126">
        <v>24</v>
      </c>
      <c r="G554" s="126">
        <v>4182</v>
      </c>
      <c r="H554" s="126" t="s">
        <v>630</v>
      </c>
      <c r="I554" s="126" t="s">
        <v>6883</v>
      </c>
      <c r="J554" s="126" t="s">
        <v>6884</v>
      </c>
      <c r="K554" s="126" t="s">
        <v>6885</v>
      </c>
      <c r="L554" s="126" t="s">
        <v>6872</v>
      </c>
      <c r="M554" s="128" t="s">
        <v>6873</v>
      </c>
      <c r="N554" s="126" t="s">
        <v>6874</v>
      </c>
      <c r="O554" s="128" t="s">
        <v>6886</v>
      </c>
      <c r="P554" s="1" t="s">
        <v>682</v>
      </c>
      <c r="Q554" s="126" t="s">
        <v>6887</v>
      </c>
      <c r="R554" s="126" t="s">
        <v>6888</v>
      </c>
      <c r="S554" s="126">
        <v>3000</v>
      </c>
      <c r="T554" s="126">
        <v>73134</v>
      </c>
      <c r="U554" s="126">
        <v>76134</v>
      </c>
      <c r="V554" s="126" t="s">
        <v>3774</v>
      </c>
      <c r="W554" s="129" t="s">
        <v>6889</v>
      </c>
      <c r="X554" t="s">
        <v>6890</v>
      </c>
      <c r="Y554" t="s">
        <v>644</v>
      </c>
      <c r="Z554" t="s">
        <v>645</v>
      </c>
    </row>
    <row r="555" spans="1:26" x14ac:dyDescent="0.3">
      <c r="A555" s="126" t="s">
        <v>6891</v>
      </c>
      <c r="B555" s="126" t="s">
        <v>6867</v>
      </c>
      <c r="C555" s="54" t="s">
        <v>702</v>
      </c>
      <c r="D555" s="127" t="s">
        <v>6892</v>
      </c>
      <c r="E555" s="126">
        <v>77900</v>
      </c>
      <c r="F555" s="126">
        <v>30</v>
      </c>
      <c r="G555" s="126">
        <v>3500</v>
      </c>
      <c r="H555" s="126" t="s">
        <v>630</v>
      </c>
      <c r="I555" s="126" t="s">
        <v>6893</v>
      </c>
      <c r="J555" s="126" t="s">
        <v>6894</v>
      </c>
      <c r="K555" s="126" t="s">
        <v>6895</v>
      </c>
      <c r="L555" s="126" t="s">
        <v>6896</v>
      </c>
      <c r="M555" s="128" t="s">
        <v>6897</v>
      </c>
      <c r="N555" s="126" t="s">
        <v>6874</v>
      </c>
      <c r="O555" s="128" t="s">
        <v>6898</v>
      </c>
      <c r="P555" s="1" t="s">
        <v>682</v>
      </c>
      <c r="Q555" s="126" t="s">
        <v>6899</v>
      </c>
      <c r="R555" s="126" t="s">
        <v>6900</v>
      </c>
      <c r="S555" s="126">
        <v>3000</v>
      </c>
      <c r="T555" s="126">
        <v>40782</v>
      </c>
      <c r="U555" s="126">
        <v>43782</v>
      </c>
      <c r="V555" s="126" t="s">
        <v>3797</v>
      </c>
      <c r="W555" s="129" t="s">
        <v>6901</v>
      </c>
      <c r="X555" t="s">
        <v>6902</v>
      </c>
      <c r="Y555" t="s">
        <v>644</v>
      </c>
      <c r="Z555" t="s">
        <v>645</v>
      </c>
    </row>
    <row r="556" spans="1:26" x14ac:dyDescent="0.3">
      <c r="A556" s="126" t="s">
        <v>6903</v>
      </c>
      <c r="B556" s="126" t="s">
        <v>6867</v>
      </c>
      <c r="C556" s="54" t="s">
        <v>628</v>
      </c>
      <c r="D556" s="127" t="s">
        <v>5898</v>
      </c>
      <c r="E556" s="126">
        <v>71500</v>
      </c>
      <c r="F556" s="126">
        <v>24</v>
      </c>
      <c r="G556" s="126">
        <v>3724</v>
      </c>
      <c r="H556" s="126" t="s">
        <v>630</v>
      </c>
      <c r="I556" s="126" t="s">
        <v>6904</v>
      </c>
      <c r="J556" s="126" t="s">
        <v>1223</v>
      </c>
      <c r="K556" s="126" t="s">
        <v>6905</v>
      </c>
      <c r="L556" s="126" t="s">
        <v>6906</v>
      </c>
      <c r="M556" s="128" t="s">
        <v>6907</v>
      </c>
      <c r="N556" s="126" t="s">
        <v>6874</v>
      </c>
      <c r="O556" s="128" t="s">
        <v>6908</v>
      </c>
      <c r="P556" s="1" t="s">
        <v>682</v>
      </c>
      <c r="Q556" s="126" t="s">
        <v>6909</v>
      </c>
      <c r="R556" s="126" t="s">
        <v>6910</v>
      </c>
      <c r="S556" s="126">
        <v>3000</v>
      </c>
      <c r="T556" s="126">
        <v>86835</v>
      </c>
      <c r="U556" s="126">
        <v>89835</v>
      </c>
      <c r="V556" s="126" t="s">
        <v>2312</v>
      </c>
      <c r="W556" s="129" t="s">
        <v>6911</v>
      </c>
      <c r="X556" t="s">
        <v>6912</v>
      </c>
      <c r="Y556" t="s">
        <v>644</v>
      </c>
      <c r="Z556" t="s">
        <v>645</v>
      </c>
    </row>
    <row r="557" spans="1:26" x14ac:dyDescent="0.3">
      <c r="A557" s="126" t="s">
        <v>6913</v>
      </c>
      <c r="B557" s="126" t="s">
        <v>6867</v>
      </c>
      <c r="C557" s="54" t="s">
        <v>661</v>
      </c>
      <c r="D557" s="127" t="s">
        <v>6914</v>
      </c>
      <c r="E557" s="126">
        <v>200000</v>
      </c>
      <c r="F557" s="126">
        <v>36</v>
      </c>
      <c r="G557" s="126">
        <v>7273</v>
      </c>
      <c r="H557" s="126" t="s">
        <v>630</v>
      </c>
      <c r="I557" s="126" t="s">
        <v>6915</v>
      </c>
      <c r="J557" s="126" t="s">
        <v>6916</v>
      </c>
      <c r="K557" s="126" t="s">
        <v>6917</v>
      </c>
      <c r="L557" s="126" t="s">
        <v>6896</v>
      </c>
      <c r="M557" s="128" t="s">
        <v>6918</v>
      </c>
      <c r="N557" s="126" t="s">
        <v>6874</v>
      </c>
      <c r="O557" s="128" t="s">
        <v>6919</v>
      </c>
      <c r="P557" s="1" t="s">
        <v>682</v>
      </c>
      <c r="Q557" s="1" t="s">
        <v>682</v>
      </c>
      <c r="R557" s="1" t="s">
        <v>682</v>
      </c>
      <c r="S557" s="126">
        <v>3000</v>
      </c>
      <c r="T557" s="126">
        <v>150318</v>
      </c>
      <c r="U557" s="126">
        <v>153318</v>
      </c>
      <c r="V557" s="126" t="s">
        <v>1675</v>
      </c>
      <c r="W557" s="129" t="s">
        <v>6920</v>
      </c>
      <c r="X557" t="s">
        <v>6921</v>
      </c>
      <c r="Y557" t="s">
        <v>644</v>
      </c>
      <c r="Z557" t="s">
        <v>645</v>
      </c>
    </row>
    <row r="558" spans="1:26" x14ac:dyDescent="0.3">
      <c r="A558" s="126" t="s">
        <v>6922</v>
      </c>
      <c r="B558" s="126" t="s">
        <v>6867</v>
      </c>
      <c r="C558" s="54" t="s">
        <v>628</v>
      </c>
      <c r="D558" s="127" t="s">
        <v>3909</v>
      </c>
      <c r="E558" s="126">
        <v>90000</v>
      </c>
      <c r="F558" s="126">
        <v>36</v>
      </c>
      <c r="G558" s="126">
        <v>3614</v>
      </c>
      <c r="H558" s="126" t="s">
        <v>630</v>
      </c>
      <c r="I558" s="126" t="s">
        <v>6923</v>
      </c>
      <c r="J558" s="126" t="s">
        <v>6924</v>
      </c>
      <c r="K558" s="126" t="s">
        <v>6925</v>
      </c>
      <c r="L558" s="1"/>
      <c r="M558" s="128" t="s">
        <v>6926</v>
      </c>
      <c r="N558" s="126" t="s">
        <v>6874</v>
      </c>
      <c r="O558" s="128" t="s">
        <v>6927</v>
      </c>
      <c r="P558" s="126" t="s">
        <v>6928</v>
      </c>
      <c r="Q558" s="126" t="s">
        <v>6929</v>
      </c>
      <c r="R558" s="126" t="s">
        <v>6930</v>
      </c>
      <c r="S558" s="126">
        <v>3000</v>
      </c>
      <c r="T558" s="126">
        <v>106760</v>
      </c>
      <c r="U558" s="126">
        <v>109760</v>
      </c>
      <c r="V558" s="126" t="s">
        <v>1675</v>
      </c>
      <c r="W558" s="129" t="s">
        <v>6931</v>
      </c>
      <c r="X558" t="s">
        <v>6932</v>
      </c>
      <c r="Y558" t="s">
        <v>644</v>
      </c>
      <c r="Z558" t="s">
        <v>645</v>
      </c>
    </row>
    <row r="559" spans="1:26" x14ac:dyDescent="0.3">
      <c r="A559" s="126" t="s">
        <v>6933</v>
      </c>
      <c r="B559" s="126" t="s">
        <v>3613</v>
      </c>
      <c r="C559" s="54" t="s">
        <v>628</v>
      </c>
      <c r="D559" s="127" t="s">
        <v>6934</v>
      </c>
      <c r="E559" s="126">
        <v>57100</v>
      </c>
      <c r="F559" s="126">
        <v>27</v>
      </c>
      <c r="G559" s="126">
        <v>2817</v>
      </c>
      <c r="H559" s="126" t="s">
        <v>630</v>
      </c>
      <c r="I559" s="126" t="s">
        <v>6935</v>
      </c>
      <c r="J559" s="126" t="s">
        <v>6936</v>
      </c>
      <c r="K559" s="126" t="s">
        <v>6937</v>
      </c>
      <c r="L559" s="126" t="s">
        <v>6938</v>
      </c>
      <c r="M559" s="128" t="s">
        <v>6939</v>
      </c>
      <c r="N559" s="126" t="s">
        <v>6874</v>
      </c>
      <c r="O559" s="128" t="s">
        <v>6940</v>
      </c>
      <c r="P559" s="126" t="s">
        <v>6941</v>
      </c>
      <c r="Q559" s="126" t="s">
        <v>6942</v>
      </c>
      <c r="R559" s="126" t="s">
        <v>6943</v>
      </c>
      <c r="S559" s="126">
        <v>3000</v>
      </c>
      <c r="T559" s="126">
        <v>108569</v>
      </c>
      <c r="U559" s="126">
        <v>111569</v>
      </c>
      <c r="V559" s="126" t="s">
        <v>714</v>
      </c>
      <c r="W559" s="129" t="s">
        <v>6944</v>
      </c>
      <c r="X559" t="s">
        <v>6945</v>
      </c>
      <c r="Y559" t="s">
        <v>644</v>
      </c>
      <c r="Z559" t="s">
        <v>645</v>
      </c>
    </row>
    <row r="560" spans="1:26" x14ac:dyDescent="0.3">
      <c r="A560" s="126" t="s">
        <v>6946</v>
      </c>
      <c r="B560" s="126" t="s">
        <v>6867</v>
      </c>
      <c r="C560" s="54" t="s">
        <v>2857</v>
      </c>
      <c r="D560" s="127" t="s">
        <v>6947</v>
      </c>
      <c r="E560" s="126">
        <v>60500</v>
      </c>
      <c r="F560" s="126">
        <v>24</v>
      </c>
      <c r="G560" s="126">
        <v>2975</v>
      </c>
      <c r="H560" s="126" t="s">
        <v>630</v>
      </c>
      <c r="I560" s="126" t="s">
        <v>6948</v>
      </c>
      <c r="J560" s="126" t="s">
        <v>6949</v>
      </c>
      <c r="K560" s="126" t="s">
        <v>6950</v>
      </c>
      <c r="L560" s="126" t="s">
        <v>6951</v>
      </c>
      <c r="M560" s="128" t="s">
        <v>6952</v>
      </c>
      <c r="N560" s="126" t="s">
        <v>6874</v>
      </c>
      <c r="O560" s="128" t="s">
        <v>6953</v>
      </c>
      <c r="P560" s="126" t="s">
        <v>6954</v>
      </c>
      <c r="Q560" s="126" t="s">
        <v>6955</v>
      </c>
      <c r="R560" s="126" t="s">
        <v>6956</v>
      </c>
      <c r="S560" s="126">
        <v>3000</v>
      </c>
      <c r="T560" s="126">
        <v>66775</v>
      </c>
      <c r="U560" s="126">
        <v>69775</v>
      </c>
      <c r="V560" s="126" t="s">
        <v>1345</v>
      </c>
      <c r="W560" s="129" t="s">
        <v>6957</v>
      </c>
      <c r="X560" t="s">
        <v>6958</v>
      </c>
      <c r="Y560" t="s">
        <v>644</v>
      </c>
      <c r="Z560" t="s">
        <v>645</v>
      </c>
    </row>
    <row r="561" spans="1:26" x14ac:dyDescent="0.3">
      <c r="A561" s="126" t="s">
        <v>6959</v>
      </c>
      <c r="B561" s="126" t="s">
        <v>6867</v>
      </c>
      <c r="C561" s="54" t="s">
        <v>2565</v>
      </c>
      <c r="D561" s="127" t="s">
        <v>2088</v>
      </c>
      <c r="E561" s="126">
        <v>60000</v>
      </c>
      <c r="F561" s="126">
        <v>24</v>
      </c>
      <c r="G561" s="126">
        <v>3325</v>
      </c>
      <c r="H561" s="126" t="s">
        <v>630</v>
      </c>
      <c r="I561" s="126" t="s">
        <v>6960</v>
      </c>
      <c r="J561" s="126" t="s">
        <v>6961</v>
      </c>
      <c r="K561" s="126" t="s">
        <v>6962</v>
      </c>
      <c r="L561" s="126" t="s">
        <v>6951</v>
      </c>
      <c r="M561" s="128" t="s">
        <v>6963</v>
      </c>
      <c r="N561" s="126" t="s">
        <v>6874</v>
      </c>
      <c r="O561" s="128" t="s">
        <v>6964</v>
      </c>
      <c r="P561" s="126" t="s">
        <v>6965</v>
      </c>
      <c r="Q561" s="126" t="s">
        <v>6966</v>
      </c>
      <c r="R561" s="126" t="s">
        <v>6967</v>
      </c>
      <c r="S561" s="126">
        <v>3000</v>
      </c>
      <c r="T561" s="126">
        <v>62037</v>
      </c>
      <c r="U561" s="126">
        <v>65037</v>
      </c>
      <c r="V561" s="126" t="s">
        <v>1078</v>
      </c>
      <c r="W561" s="129" t="s">
        <v>6968</v>
      </c>
      <c r="X561" t="s">
        <v>6969</v>
      </c>
      <c r="Y561" t="s">
        <v>644</v>
      </c>
      <c r="Z561" t="s">
        <v>645</v>
      </c>
    </row>
    <row r="562" spans="1:26" x14ac:dyDescent="0.3">
      <c r="A562" s="126" t="s">
        <v>6970</v>
      </c>
      <c r="B562" s="126" t="s">
        <v>6867</v>
      </c>
      <c r="C562" s="54" t="s">
        <v>702</v>
      </c>
      <c r="D562" s="127" t="s">
        <v>3375</v>
      </c>
      <c r="E562" s="126">
        <v>68900</v>
      </c>
      <c r="F562" s="126">
        <v>31</v>
      </c>
      <c r="G562" s="126">
        <v>3593</v>
      </c>
      <c r="H562" s="126" t="s">
        <v>630</v>
      </c>
      <c r="I562" s="126" t="s">
        <v>6971</v>
      </c>
      <c r="J562" s="126" t="s">
        <v>6972</v>
      </c>
      <c r="K562" s="126" t="s">
        <v>6973</v>
      </c>
      <c r="L562" s="126" t="s">
        <v>6938</v>
      </c>
      <c r="M562" s="128" t="s">
        <v>6974</v>
      </c>
      <c r="N562" s="126" t="s">
        <v>6874</v>
      </c>
      <c r="O562" s="128" t="s">
        <v>6975</v>
      </c>
      <c r="P562" s="1" t="s">
        <v>682</v>
      </c>
      <c r="Q562" s="126" t="s">
        <v>6976</v>
      </c>
      <c r="R562" s="126" t="s">
        <v>6977</v>
      </c>
      <c r="S562" s="126">
        <v>3000</v>
      </c>
      <c r="T562" s="126">
        <v>44502</v>
      </c>
      <c r="U562" s="126">
        <v>47502</v>
      </c>
      <c r="V562" s="126" t="s">
        <v>857</v>
      </c>
      <c r="W562" s="129" t="s">
        <v>6978</v>
      </c>
      <c r="X562" t="s">
        <v>6979</v>
      </c>
      <c r="Y562" t="s">
        <v>644</v>
      </c>
      <c r="Z562" t="s">
        <v>645</v>
      </c>
    </row>
    <row r="563" spans="1:26" x14ac:dyDescent="0.3">
      <c r="A563" s="126" t="s">
        <v>6980</v>
      </c>
      <c r="B563" s="126" t="s">
        <v>6867</v>
      </c>
      <c r="C563" s="54" t="s">
        <v>661</v>
      </c>
      <c r="D563" s="127" t="s">
        <v>6981</v>
      </c>
      <c r="E563" s="126">
        <v>108249</v>
      </c>
      <c r="F563" s="126">
        <v>36</v>
      </c>
      <c r="G563" s="126">
        <v>4261</v>
      </c>
      <c r="H563" s="126" t="s">
        <v>630</v>
      </c>
      <c r="I563" s="126" t="s">
        <v>6982</v>
      </c>
      <c r="J563" s="126" t="s">
        <v>6983</v>
      </c>
      <c r="K563" s="126" t="s">
        <v>6984</v>
      </c>
      <c r="L563" s="126" t="s">
        <v>6985</v>
      </c>
      <c r="M563" s="128" t="s">
        <v>6986</v>
      </c>
      <c r="N563" s="126" t="s">
        <v>6874</v>
      </c>
      <c r="O563" s="128" t="s">
        <v>6987</v>
      </c>
      <c r="P563" s="126" t="s">
        <v>6988</v>
      </c>
      <c r="Q563" s="126" t="s">
        <v>6989</v>
      </c>
      <c r="R563" s="126" t="s">
        <v>6990</v>
      </c>
      <c r="S563" s="126">
        <v>3000</v>
      </c>
      <c r="T563" s="126">
        <v>121807</v>
      </c>
      <c r="U563" s="126">
        <v>124807</v>
      </c>
      <c r="V563" s="126" t="s">
        <v>4023</v>
      </c>
      <c r="W563" s="129" t="s">
        <v>6991</v>
      </c>
      <c r="X563" t="s">
        <v>6992</v>
      </c>
      <c r="Y563" t="s">
        <v>644</v>
      </c>
      <c r="Z563" t="s">
        <v>645</v>
      </c>
    </row>
    <row r="564" spans="1:26" x14ac:dyDescent="0.3">
      <c r="A564" s="126" t="s">
        <v>6993</v>
      </c>
      <c r="B564" s="126" t="s">
        <v>6867</v>
      </c>
      <c r="C564" s="54" t="s">
        <v>628</v>
      </c>
      <c r="D564" s="127" t="s">
        <v>6994</v>
      </c>
      <c r="E564" s="126">
        <v>51499</v>
      </c>
      <c r="F564" s="126">
        <v>24</v>
      </c>
      <c r="G564" s="126">
        <v>2910</v>
      </c>
      <c r="H564" s="126" t="s">
        <v>630</v>
      </c>
      <c r="I564" s="126" t="s">
        <v>6995</v>
      </c>
      <c r="J564" s="126" t="s">
        <v>6996</v>
      </c>
      <c r="K564" s="126" t="s">
        <v>6997</v>
      </c>
      <c r="L564" s="126" t="s">
        <v>6998</v>
      </c>
      <c r="M564" s="128" t="s">
        <v>6999</v>
      </c>
      <c r="N564" s="126" t="s">
        <v>6874</v>
      </c>
      <c r="O564" s="128" t="s">
        <v>7000</v>
      </c>
      <c r="P564" s="126" t="s">
        <v>7001</v>
      </c>
      <c r="Q564" s="126" t="s">
        <v>7002</v>
      </c>
      <c r="R564" s="126" t="s">
        <v>7003</v>
      </c>
      <c r="S564" s="126">
        <v>3000</v>
      </c>
      <c r="T564" s="126">
        <v>27993</v>
      </c>
      <c r="U564" s="126">
        <v>30993</v>
      </c>
      <c r="V564" s="126" t="s">
        <v>2347</v>
      </c>
      <c r="W564" s="129" t="s">
        <v>7004</v>
      </c>
      <c r="X564" t="s">
        <v>7005</v>
      </c>
      <c r="Y564" t="s">
        <v>644</v>
      </c>
      <c r="Z564" t="s">
        <v>645</v>
      </c>
    </row>
    <row r="565" spans="1:26" x14ac:dyDescent="0.3">
      <c r="A565" s="126" t="s">
        <v>7006</v>
      </c>
      <c r="B565" s="126" t="s">
        <v>6867</v>
      </c>
      <c r="C565" s="54" t="s">
        <v>628</v>
      </c>
      <c r="D565" s="127" t="s">
        <v>7007</v>
      </c>
      <c r="E565" s="126">
        <v>63940</v>
      </c>
      <c r="F565" s="126">
        <v>24</v>
      </c>
      <c r="G565" s="126">
        <v>3491</v>
      </c>
      <c r="H565" s="126" t="s">
        <v>630</v>
      </c>
      <c r="I565" s="126" t="s">
        <v>7008</v>
      </c>
      <c r="J565" s="126" t="s">
        <v>7009</v>
      </c>
      <c r="K565" s="126" t="s">
        <v>7010</v>
      </c>
      <c r="L565" s="126" t="s">
        <v>6896</v>
      </c>
      <c r="M565" s="128" t="s">
        <v>7011</v>
      </c>
      <c r="N565" s="126" t="s">
        <v>6874</v>
      </c>
      <c r="O565" s="128" t="s">
        <v>7012</v>
      </c>
      <c r="P565" s="1" t="s">
        <v>682</v>
      </c>
      <c r="Q565" s="126" t="s">
        <v>7013</v>
      </c>
      <c r="R565" s="126" t="s">
        <v>7014</v>
      </c>
      <c r="S565" s="126">
        <v>3000</v>
      </c>
      <c r="T565" s="126">
        <v>75527</v>
      </c>
      <c r="U565" s="126">
        <v>78527</v>
      </c>
      <c r="V565" s="126" t="s">
        <v>5199</v>
      </c>
      <c r="W565" s="129" t="s">
        <v>7015</v>
      </c>
      <c r="X565" t="s">
        <v>7016</v>
      </c>
      <c r="Y565" t="s">
        <v>644</v>
      </c>
      <c r="Z565" t="s">
        <v>645</v>
      </c>
    </row>
    <row r="566" spans="1:26" x14ac:dyDescent="0.3">
      <c r="A566" s="126" t="s">
        <v>7017</v>
      </c>
      <c r="B566" s="126" t="s">
        <v>6867</v>
      </c>
      <c r="C566" s="54" t="s">
        <v>2565</v>
      </c>
      <c r="D566" s="127" t="s">
        <v>6810</v>
      </c>
      <c r="E566" s="126">
        <v>58549</v>
      </c>
      <c r="F566" s="126">
        <v>24</v>
      </c>
      <c r="G566" s="126">
        <v>3050</v>
      </c>
      <c r="H566" s="126" t="s">
        <v>630</v>
      </c>
      <c r="I566" s="126" t="s">
        <v>7018</v>
      </c>
      <c r="J566" s="126" t="s">
        <v>7019</v>
      </c>
      <c r="K566" s="126" t="s">
        <v>7020</v>
      </c>
      <c r="L566" s="126" t="s">
        <v>7021</v>
      </c>
      <c r="M566" s="128" t="s">
        <v>7022</v>
      </c>
      <c r="N566" s="126" t="s">
        <v>6874</v>
      </c>
      <c r="O566" s="128" t="s">
        <v>7023</v>
      </c>
      <c r="P566" s="126" t="s">
        <v>7024</v>
      </c>
      <c r="Q566" s="126" t="s">
        <v>7025</v>
      </c>
      <c r="R566" s="126" t="s">
        <v>7026</v>
      </c>
      <c r="S566" s="126">
        <v>3000</v>
      </c>
      <c r="T566" s="126">
        <v>71194</v>
      </c>
      <c r="U566" s="126">
        <v>74194</v>
      </c>
      <c r="V566" s="126" t="s">
        <v>1078</v>
      </c>
      <c r="W566" s="129" t="s">
        <v>7027</v>
      </c>
      <c r="X566" t="s">
        <v>7028</v>
      </c>
      <c r="Y566" t="s">
        <v>644</v>
      </c>
      <c r="Z566" t="s">
        <v>645</v>
      </c>
    </row>
    <row r="567" spans="1:26" x14ac:dyDescent="0.3">
      <c r="A567" s="126" t="s">
        <v>7029</v>
      </c>
      <c r="B567" s="126" t="s">
        <v>6867</v>
      </c>
      <c r="C567" s="54" t="s">
        <v>628</v>
      </c>
      <c r="D567" s="127" t="s">
        <v>4602</v>
      </c>
      <c r="E567" s="126">
        <v>57700</v>
      </c>
      <c r="F567" s="126">
        <v>24</v>
      </c>
      <c r="G567" s="126">
        <v>3125</v>
      </c>
      <c r="H567" s="126" t="s">
        <v>630</v>
      </c>
      <c r="I567" s="126" t="s">
        <v>7030</v>
      </c>
      <c r="J567" s="126" t="s">
        <v>7031</v>
      </c>
      <c r="K567" s="126" t="s">
        <v>7032</v>
      </c>
      <c r="L567" s="126" t="s">
        <v>7021</v>
      </c>
      <c r="M567" s="128" t="s">
        <v>7033</v>
      </c>
      <c r="N567" s="126" t="s">
        <v>6874</v>
      </c>
      <c r="O567" s="128" t="s">
        <v>7034</v>
      </c>
      <c r="P567" s="1" t="s">
        <v>682</v>
      </c>
      <c r="Q567" s="126" t="s">
        <v>7035</v>
      </c>
      <c r="R567" s="126" t="s">
        <v>7036</v>
      </c>
      <c r="S567" s="126">
        <v>3000</v>
      </c>
      <c r="T567" s="126">
        <v>58874</v>
      </c>
      <c r="U567" s="126">
        <v>61874</v>
      </c>
      <c r="V567" s="126" t="s">
        <v>1078</v>
      </c>
      <c r="W567" s="129" t="s">
        <v>7037</v>
      </c>
      <c r="X567" t="s">
        <v>7038</v>
      </c>
      <c r="Y567" t="s">
        <v>644</v>
      </c>
      <c r="Z567" t="s">
        <v>645</v>
      </c>
    </row>
    <row r="568" spans="1:26" x14ac:dyDescent="0.3">
      <c r="A568" s="126" t="s">
        <v>7039</v>
      </c>
      <c r="B568" s="126" t="s">
        <v>6867</v>
      </c>
      <c r="C568" s="54" t="s">
        <v>2757</v>
      </c>
      <c r="D568" s="127" t="s">
        <v>7040</v>
      </c>
      <c r="E568" s="126">
        <v>59107</v>
      </c>
      <c r="F568" s="126">
        <v>36</v>
      </c>
      <c r="G568" s="126">
        <v>2376</v>
      </c>
      <c r="H568" s="126" t="s">
        <v>630</v>
      </c>
      <c r="I568" s="126" t="s">
        <v>7041</v>
      </c>
      <c r="J568" s="126" t="s">
        <v>7042</v>
      </c>
      <c r="K568" s="126" t="s">
        <v>7043</v>
      </c>
      <c r="L568" s="126" t="s">
        <v>6951</v>
      </c>
      <c r="M568" s="128" t="s">
        <v>7044</v>
      </c>
      <c r="N568" s="126" t="s">
        <v>6874</v>
      </c>
      <c r="O568" s="128" t="s">
        <v>7045</v>
      </c>
      <c r="P568" s="126" t="s">
        <v>7046</v>
      </c>
      <c r="Q568" s="126" t="s">
        <v>7047</v>
      </c>
      <c r="R568" s="126" t="s">
        <v>7048</v>
      </c>
      <c r="S568" s="126">
        <v>3000</v>
      </c>
      <c r="T568" s="126">
        <v>64406</v>
      </c>
      <c r="U568" s="126">
        <v>67406</v>
      </c>
      <c r="V568" s="126" t="s">
        <v>1078</v>
      </c>
      <c r="W568" s="129" t="s">
        <v>7049</v>
      </c>
      <c r="X568" t="s">
        <v>7050</v>
      </c>
      <c r="Y568" t="s">
        <v>644</v>
      </c>
      <c r="Z568" t="s">
        <v>645</v>
      </c>
    </row>
    <row r="569" spans="1:26" x14ac:dyDescent="0.3">
      <c r="A569" s="126" t="s">
        <v>7051</v>
      </c>
      <c r="B569" s="126" t="s">
        <v>6867</v>
      </c>
      <c r="C569" s="54" t="s">
        <v>2544</v>
      </c>
      <c r="D569" s="127" t="s">
        <v>7052</v>
      </c>
      <c r="E569" s="126">
        <v>93900</v>
      </c>
      <c r="F569" s="126">
        <v>36</v>
      </c>
      <c r="G569" s="126">
        <v>3704</v>
      </c>
      <c r="H569" s="126" t="s">
        <v>630</v>
      </c>
      <c r="I569" s="126" t="s">
        <v>7053</v>
      </c>
      <c r="J569" s="126" t="s">
        <v>7054</v>
      </c>
      <c r="K569" s="126" t="s">
        <v>7055</v>
      </c>
      <c r="L569" s="126" t="s">
        <v>7056</v>
      </c>
      <c r="M569" s="128" t="s">
        <v>7057</v>
      </c>
      <c r="N569" s="126" t="s">
        <v>6874</v>
      </c>
      <c r="O569" s="128" t="s">
        <v>7058</v>
      </c>
      <c r="P569" s="126" t="s">
        <v>7059</v>
      </c>
      <c r="Q569" s="126" t="s">
        <v>7060</v>
      </c>
      <c r="R569" s="126" t="s">
        <v>7061</v>
      </c>
      <c r="S569" s="126">
        <v>3000</v>
      </c>
      <c r="T569" s="126">
        <v>119791</v>
      </c>
      <c r="U569" s="126">
        <v>122791</v>
      </c>
      <c r="V569" s="126" t="s">
        <v>641</v>
      </c>
      <c r="W569" s="129" t="s">
        <v>7062</v>
      </c>
      <c r="X569" t="s">
        <v>7063</v>
      </c>
      <c r="Y569" t="s">
        <v>644</v>
      </c>
      <c r="Z569" t="s">
        <v>645</v>
      </c>
    </row>
    <row r="570" spans="1:26" x14ac:dyDescent="0.3">
      <c r="A570" s="126" t="s">
        <v>7064</v>
      </c>
      <c r="B570" s="126" t="s">
        <v>6867</v>
      </c>
      <c r="C570" s="54" t="s">
        <v>628</v>
      </c>
      <c r="D570" s="127" t="s">
        <v>7065</v>
      </c>
      <c r="E570" s="126">
        <v>67000</v>
      </c>
      <c r="F570" s="126">
        <v>24</v>
      </c>
      <c r="G570" s="126">
        <v>3524</v>
      </c>
      <c r="H570" s="126" t="s">
        <v>630</v>
      </c>
      <c r="I570" s="126" t="s">
        <v>7066</v>
      </c>
      <c r="J570" s="126" t="s">
        <v>7067</v>
      </c>
      <c r="K570" s="126" t="s">
        <v>7068</v>
      </c>
      <c r="L570" s="126" t="s">
        <v>6938</v>
      </c>
      <c r="M570" s="128" t="s">
        <v>7069</v>
      </c>
      <c r="N570" s="126" t="s">
        <v>6874</v>
      </c>
      <c r="O570" s="128" t="s">
        <v>7070</v>
      </c>
      <c r="P570" s="126" t="s">
        <v>7071</v>
      </c>
      <c r="Q570" s="126" t="s">
        <v>7072</v>
      </c>
      <c r="R570" s="126" t="s">
        <v>7073</v>
      </c>
      <c r="S570" s="126">
        <v>3000</v>
      </c>
      <c r="T570" s="126">
        <v>115508</v>
      </c>
      <c r="U570" s="126">
        <v>118508</v>
      </c>
      <c r="V570" s="126" t="s">
        <v>1318</v>
      </c>
      <c r="W570" s="129" t="s">
        <v>7074</v>
      </c>
      <c r="X570" t="s">
        <v>7075</v>
      </c>
      <c r="Y570" t="s">
        <v>644</v>
      </c>
      <c r="Z570" t="s">
        <v>645</v>
      </c>
    </row>
    <row r="571" spans="1:26" x14ac:dyDescent="0.3">
      <c r="A571" s="126" t="s">
        <v>7076</v>
      </c>
      <c r="B571" s="126" t="s">
        <v>6867</v>
      </c>
      <c r="C571" s="54" t="s">
        <v>1335</v>
      </c>
      <c r="D571" s="127" t="s">
        <v>7077</v>
      </c>
      <c r="E571" s="126">
        <v>69000</v>
      </c>
      <c r="F571" s="126">
        <v>41</v>
      </c>
      <c r="G571" s="126">
        <v>2693</v>
      </c>
      <c r="H571" s="126" t="s">
        <v>630</v>
      </c>
      <c r="I571" s="126" t="s">
        <v>7078</v>
      </c>
      <c r="J571" s="126" t="s">
        <v>7079</v>
      </c>
      <c r="K571" s="126" t="s">
        <v>7080</v>
      </c>
      <c r="L571" s="126" t="s">
        <v>6938</v>
      </c>
      <c r="M571" s="128" t="s">
        <v>7081</v>
      </c>
      <c r="N571" s="126" t="s">
        <v>6874</v>
      </c>
      <c r="O571" s="128" t="s">
        <v>7082</v>
      </c>
      <c r="P571" s="126" t="s">
        <v>7083</v>
      </c>
      <c r="Q571" s="126" t="s">
        <v>7084</v>
      </c>
      <c r="R571" s="126" t="s">
        <v>7085</v>
      </c>
      <c r="S571" s="126">
        <v>3000</v>
      </c>
      <c r="T571" s="126">
        <v>53269</v>
      </c>
      <c r="U571" s="126">
        <v>56269</v>
      </c>
      <c r="V571" s="126" t="s">
        <v>857</v>
      </c>
      <c r="W571" s="129" t="s">
        <v>7086</v>
      </c>
      <c r="X571" t="s">
        <v>7087</v>
      </c>
      <c r="Y571" t="s">
        <v>644</v>
      </c>
      <c r="Z571" t="s">
        <v>645</v>
      </c>
    </row>
    <row r="572" spans="1:26" x14ac:dyDescent="0.3">
      <c r="A572" s="126" t="s">
        <v>7088</v>
      </c>
      <c r="B572" s="126" t="s">
        <v>6867</v>
      </c>
      <c r="C572" s="54" t="s">
        <v>661</v>
      </c>
      <c r="D572" s="127" t="s">
        <v>2304</v>
      </c>
      <c r="E572" s="126">
        <v>73649</v>
      </c>
      <c r="F572" s="126">
        <v>24</v>
      </c>
      <c r="G572" s="126">
        <v>4156</v>
      </c>
      <c r="H572" s="126" t="s">
        <v>630</v>
      </c>
      <c r="I572" s="126" t="s">
        <v>7089</v>
      </c>
      <c r="J572" s="126" t="s">
        <v>7090</v>
      </c>
      <c r="K572" s="126" t="s">
        <v>7091</v>
      </c>
      <c r="L572" s="126" t="s">
        <v>7092</v>
      </c>
      <c r="M572" s="128" t="s">
        <v>7093</v>
      </c>
      <c r="N572" s="126" t="s">
        <v>6874</v>
      </c>
      <c r="O572" s="128" t="s">
        <v>7094</v>
      </c>
      <c r="P572" s="126" t="s">
        <v>7095</v>
      </c>
      <c r="Q572" s="126" t="s">
        <v>7096</v>
      </c>
      <c r="R572" s="126" t="s">
        <v>7097</v>
      </c>
      <c r="S572" s="126">
        <v>3000</v>
      </c>
      <c r="T572" s="126">
        <v>81819</v>
      </c>
      <c r="U572" s="126">
        <v>84819</v>
      </c>
      <c r="V572" s="126" t="s">
        <v>870</v>
      </c>
      <c r="W572" s="129" t="s">
        <v>7098</v>
      </c>
      <c r="X572" t="s">
        <v>7099</v>
      </c>
      <c r="Y572" t="s">
        <v>644</v>
      </c>
      <c r="Z572" t="s">
        <v>645</v>
      </c>
    </row>
    <row r="573" spans="1:26" x14ac:dyDescent="0.3">
      <c r="A573" s="126" t="s">
        <v>7100</v>
      </c>
      <c r="B573" s="126" t="s">
        <v>6867</v>
      </c>
      <c r="C573" s="54" t="s">
        <v>702</v>
      </c>
      <c r="D573" s="127" t="s">
        <v>7101</v>
      </c>
      <c r="E573" s="126">
        <v>65150</v>
      </c>
      <c r="F573" s="126">
        <v>24</v>
      </c>
      <c r="G573" s="126">
        <v>3524</v>
      </c>
      <c r="H573" s="126" t="s">
        <v>630</v>
      </c>
      <c r="I573" s="126" t="s">
        <v>7102</v>
      </c>
      <c r="J573" s="126" t="s">
        <v>7103</v>
      </c>
      <c r="K573" s="126" t="s">
        <v>7104</v>
      </c>
      <c r="L573" s="126" t="s">
        <v>6985</v>
      </c>
      <c r="M573" s="128" t="s">
        <v>7105</v>
      </c>
      <c r="N573" s="126" t="s">
        <v>6874</v>
      </c>
      <c r="O573" s="128" t="s">
        <v>7106</v>
      </c>
      <c r="P573" s="126" t="s">
        <v>7107</v>
      </c>
      <c r="Q573" s="126" t="s">
        <v>7108</v>
      </c>
      <c r="R573" s="126" t="s">
        <v>7109</v>
      </c>
      <c r="S573" s="126">
        <v>3000</v>
      </c>
      <c r="T573" s="126">
        <v>77462</v>
      </c>
      <c r="U573" s="126">
        <v>80462</v>
      </c>
      <c r="V573" s="126" t="s">
        <v>1078</v>
      </c>
      <c r="W573" s="129" t="s">
        <v>7110</v>
      </c>
      <c r="X573" t="s">
        <v>7111</v>
      </c>
      <c r="Y573" t="s">
        <v>644</v>
      </c>
      <c r="Z573" t="s">
        <v>645</v>
      </c>
    </row>
    <row r="574" spans="1:26" x14ac:dyDescent="0.3">
      <c r="A574" s="126" t="s">
        <v>7112</v>
      </c>
      <c r="B574" s="126" t="s">
        <v>6867</v>
      </c>
      <c r="C574" s="54" t="s">
        <v>702</v>
      </c>
      <c r="D574" s="127" t="s">
        <v>834</v>
      </c>
      <c r="E574" s="126">
        <v>55800</v>
      </c>
      <c r="F574" s="126">
        <v>30</v>
      </c>
      <c r="G574" s="126">
        <v>2721</v>
      </c>
      <c r="H574" s="126" t="s">
        <v>630</v>
      </c>
      <c r="I574" s="126" t="s">
        <v>7113</v>
      </c>
      <c r="J574" s="126" t="s">
        <v>7114</v>
      </c>
      <c r="K574" s="126" t="s">
        <v>7115</v>
      </c>
      <c r="L574" s="126" t="s">
        <v>6998</v>
      </c>
      <c r="M574" s="128" t="s">
        <v>7116</v>
      </c>
      <c r="N574" s="126" t="s">
        <v>6874</v>
      </c>
      <c r="O574" s="128" t="s">
        <v>7117</v>
      </c>
      <c r="P574" s="126" t="s">
        <v>7118</v>
      </c>
      <c r="Q574" s="126" t="s">
        <v>7119</v>
      </c>
      <c r="R574" s="126" t="s">
        <v>7120</v>
      </c>
      <c r="S574" s="126">
        <v>3000</v>
      </c>
      <c r="T574" s="126">
        <v>50298</v>
      </c>
      <c r="U574" s="126">
        <v>53298</v>
      </c>
      <c r="V574" s="126" t="s">
        <v>2083</v>
      </c>
      <c r="W574" s="129" t="s">
        <v>7121</v>
      </c>
      <c r="X574" t="s">
        <v>7122</v>
      </c>
      <c r="Y574" t="s">
        <v>644</v>
      </c>
      <c r="Z574" t="s">
        <v>645</v>
      </c>
    </row>
    <row r="575" spans="1:26" x14ac:dyDescent="0.3">
      <c r="A575" s="126" t="s">
        <v>7123</v>
      </c>
      <c r="B575" s="126" t="s">
        <v>6867</v>
      </c>
      <c r="C575" s="54" t="s">
        <v>2857</v>
      </c>
      <c r="D575" s="127" t="s">
        <v>6520</v>
      </c>
      <c r="E575" s="126">
        <v>46000</v>
      </c>
      <c r="F575" s="126">
        <v>44</v>
      </c>
      <c r="G575" s="126">
        <v>2243</v>
      </c>
      <c r="H575" s="126" t="s">
        <v>630</v>
      </c>
      <c r="I575" s="126" t="s">
        <v>7124</v>
      </c>
      <c r="J575" s="126" t="s">
        <v>7125</v>
      </c>
      <c r="K575" s="126" t="s">
        <v>7126</v>
      </c>
      <c r="L575" s="126" t="s">
        <v>7127</v>
      </c>
      <c r="M575" s="128" t="s">
        <v>7128</v>
      </c>
      <c r="N575" s="126" t="s">
        <v>6874</v>
      </c>
      <c r="O575" s="128" t="s">
        <v>7129</v>
      </c>
      <c r="P575" s="1" t="s">
        <v>682</v>
      </c>
      <c r="Q575" s="126" t="s">
        <v>7130</v>
      </c>
      <c r="R575" s="126" t="s">
        <v>7131</v>
      </c>
      <c r="S575" s="126">
        <v>3000</v>
      </c>
      <c r="T575" s="126">
        <v>52254</v>
      </c>
      <c r="U575" s="126">
        <v>55254</v>
      </c>
      <c r="V575" s="126" t="s">
        <v>1005</v>
      </c>
      <c r="W575" s="129" t="s">
        <v>7132</v>
      </c>
      <c r="X575" t="s">
        <v>7133</v>
      </c>
      <c r="Y575" t="s">
        <v>644</v>
      </c>
      <c r="Z575" t="s">
        <v>645</v>
      </c>
    </row>
    <row r="576" spans="1:26" x14ac:dyDescent="0.3">
      <c r="A576" s="126" t="s">
        <v>7134</v>
      </c>
      <c r="B576" s="126" t="s">
        <v>6867</v>
      </c>
      <c r="C576" s="54" t="s">
        <v>702</v>
      </c>
      <c r="D576" s="127" t="s">
        <v>7135</v>
      </c>
      <c r="E576" s="126">
        <v>480000</v>
      </c>
      <c r="F576" s="126">
        <v>60</v>
      </c>
      <c r="G576" s="126">
        <v>12320</v>
      </c>
      <c r="H576" s="126" t="s">
        <v>630</v>
      </c>
      <c r="I576" s="126" t="s">
        <v>7136</v>
      </c>
      <c r="J576" s="126" t="s">
        <v>7137</v>
      </c>
      <c r="K576" s="126" t="s">
        <v>7138</v>
      </c>
      <c r="L576" s="126" t="s">
        <v>7139</v>
      </c>
      <c r="M576" s="128" t="s">
        <v>7140</v>
      </c>
      <c r="N576" s="126" t="s">
        <v>6874</v>
      </c>
      <c r="O576" s="128" t="s">
        <v>7141</v>
      </c>
      <c r="P576" s="126" t="s">
        <v>7142</v>
      </c>
      <c r="Q576" s="126" t="s">
        <v>7143</v>
      </c>
      <c r="R576" s="126" t="s">
        <v>7144</v>
      </c>
      <c r="S576" s="126">
        <v>15000</v>
      </c>
      <c r="T576" s="126">
        <v>128191</v>
      </c>
      <c r="U576" s="126">
        <v>143191</v>
      </c>
      <c r="V576" s="126" t="s">
        <v>7145</v>
      </c>
      <c r="W576" s="129" t="s">
        <v>7146</v>
      </c>
      <c r="X576" t="s">
        <v>7147</v>
      </c>
      <c r="Y576" t="s">
        <v>644</v>
      </c>
      <c r="Z576" t="s">
        <v>645</v>
      </c>
    </row>
    <row r="577" spans="1:26" x14ac:dyDescent="0.3">
      <c r="A577" s="126" t="s">
        <v>7148</v>
      </c>
      <c r="B577" s="126" t="s">
        <v>6867</v>
      </c>
      <c r="C577" s="54" t="s">
        <v>2565</v>
      </c>
      <c r="D577" s="127" t="s">
        <v>7149</v>
      </c>
      <c r="E577" s="126">
        <v>304250</v>
      </c>
      <c r="F577" s="126">
        <v>67</v>
      </c>
      <c r="G577" s="126">
        <v>9258</v>
      </c>
      <c r="H577" s="126" t="s">
        <v>630</v>
      </c>
      <c r="I577" s="126" t="s">
        <v>7150</v>
      </c>
      <c r="J577" s="126" t="s">
        <v>7151</v>
      </c>
      <c r="K577" s="126" t="s">
        <v>7152</v>
      </c>
      <c r="L577" s="126" t="s">
        <v>6951</v>
      </c>
      <c r="M577" s="128" t="s">
        <v>7153</v>
      </c>
      <c r="N577" s="126" t="s">
        <v>6874</v>
      </c>
      <c r="O577" s="128" t="s">
        <v>7154</v>
      </c>
      <c r="P577" s="126" t="s">
        <v>7155</v>
      </c>
      <c r="Q577" s="126" t="s">
        <v>7156</v>
      </c>
      <c r="R577" s="126" t="s">
        <v>7157</v>
      </c>
      <c r="S577" s="126">
        <v>15000</v>
      </c>
      <c r="T577" s="126">
        <v>500466</v>
      </c>
      <c r="U577" s="126">
        <v>515466</v>
      </c>
      <c r="V577" s="126" t="s">
        <v>7158</v>
      </c>
      <c r="W577" s="129" t="s">
        <v>7159</v>
      </c>
      <c r="X577" t="s">
        <v>7160</v>
      </c>
      <c r="Y577" t="s">
        <v>644</v>
      </c>
      <c r="Z577" t="s">
        <v>645</v>
      </c>
    </row>
    <row r="578" spans="1:26" x14ac:dyDescent="0.3">
      <c r="A578" s="1" t="s">
        <v>7161</v>
      </c>
      <c r="B578" s="126" t="s">
        <v>6867</v>
      </c>
      <c r="C578" s="54" t="s">
        <v>2544</v>
      </c>
      <c r="D578" s="127" t="s">
        <v>7162</v>
      </c>
      <c r="E578" s="1">
        <v>70300</v>
      </c>
      <c r="F578" s="1">
        <v>26</v>
      </c>
      <c r="G578" s="1">
        <v>3437</v>
      </c>
      <c r="H578" s="1" t="s">
        <v>630</v>
      </c>
      <c r="I578" s="1" t="s">
        <v>7163</v>
      </c>
      <c r="J578" s="1" t="s">
        <v>7164</v>
      </c>
      <c r="K578" s="126" t="s">
        <v>7165</v>
      </c>
      <c r="L578" s="1" t="s">
        <v>6998</v>
      </c>
      <c r="M578" s="131">
        <v>522019</v>
      </c>
      <c r="N578" s="126" t="s">
        <v>6874</v>
      </c>
      <c r="O578" s="131">
        <v>9010592757</v>
      </c>
      <c r="P578" s="1" t="s">
        <v>7166</v>
      </c>
      <c r="Q578" s="1" t="s">
        <v>7167</v>
      </c>
      <c r="R578" s="1" t="s">
        <v>7168</v>
      </c>
      <c r="S578" s="1">
        <v>3000</v>
      </c>
      <c r="T578" s="1">
        <v>84183</v>
      </c>
      <c r="U578" s="1">
        <v>87183</v>
      </c>
      <c r="V578" s="1" t="s">
        <v>1345</v>
      </c>
      <c r="W578" s="129" t="s">
        <v>7169</v>
      </c>
      <c r="X578" t="s">
        <v>7170</v>
      </c>
      <c r="Y578" t="s">
        <v>644</v>
      </c>
      <c r="Z578" t="s">
        <v>645</v>
      </c>
    </row>
    <row r="579" spans="1:26" x14ac:dyDescent="0.3">
      <c r="A579" s="1" t="s">
        <v>7171</v>
      </c>
      <c r="B579" s="126" t="s">
        <v>6867</v>
      </c>
      <c r="C579" s="54" t="s">
        <v>2565</v>
      </c>
      <c r="D579" s="127" t="s">
        <v>7172</v>
      </c>
      <c r="E579" s="1">
        <v>87349</v>
      </c>
      <c r="F579" s="1">
        <v>30</v>
      </c>
      <c r="G579" s="1">
        <v>3858</v>
      </c>
      <c r="H579" s="1" t="s">
        <v>630</v>
      </c>
      <c r="I579" s="1" t="s">
        <v>7173</v>
      </c>
      <c r="J579" s="1" t="s">
        <v>7174</v>
      </c>
      <c r="K579" s="126" t="s">
        <v>7175</v>
      </c>
      <c r="L579" s="1" t="s">
        <v>6998</v>
      </c>
      <c r="M579" s="131">
        <v>522329</v>
      </c>
      <c r="N579" s="126" t="s">
        <v>6874</v>
      </c>
      <c r="O579" s="131">
        <v>9063860640</v>
      </c>
      <c r="P579" s="1" t="s">
        <v>7176</v>
      </c>
      <c r="Q579" s="1" t="s">
        <v>7177</v>
      </c>
      <c r="R579" s="1" t="s">
        <v>7178</v>
      </c>
      <c r="S579" s="1">
        <v>3000</v>
      </c>
      <c r="T579" s="1">
        <v>115923</v>
      </c>
      <c r="U579" s="1">
        <v>118923</v>
      </c>
      <c r="V579" s="1" t="s">
        <v>978</v>
      </c>
      <c r="W579" s="129" t="s">
        <v>7179</v>
      </c>
      <c r="X579" t="s">
        <v>7180</v>
      </c>
      <c r="Y579" t="s">
        <v>644</v>
      </c>
      <c r="Z579" t="s">
        <v>645</v>
      </c>
    </row>
    <row r="580" spans="1:26" x14ac:dyDescent="0.3">
      <c r="A580" s="1" t="s">
        <v>7181</v>
      </c>
      <c r="B580" s="126" t="s">
        <v>6867</v>
      </c>
      <c r="C580" s="54" t="s">
        <v>2544</v>
      </c>
      <c r="D580" s="127" t="s">
        <v>7182</v>
      </c>
      <c r="E580" s="1">
        <v>67999</v>
      </c>
      <c r="F580" s="1">
        <v>24</v>
      </c>
      <c r="G580" s="1">
        <v>3854</v>
      </c>
      <c r="H580" s="1" t="s">
        <v>630</v>
      </c>
      <c r="I580" s="1" t="s">
        <v>7183</v>
      </c>
      <c r="J580" s="1" t="s">
        <v>7184</v>
      </c>
      <c r="K580" s="126" t="s">
        <v>7185</v>
      </c>
      <c r="L580" s="1" t="s">
        <v>7092</v>
      </c>
      <c r="M580" s="131">
        <v>521229</v>
      </c>
      <c r="N580" s="126" t="s">
        <v>6874</v>
      </c>
      <c r="O580" s="131">
        <v>8978924415</v>
      </c>
      <c r="P580" s="1" t="s">
        <v>7186</v>
      </c>
      <c r="Q580" s="1" t="s">
        <v>7187</v>
      </c>
      <c r="R580" s="1" t="s">
        <v>7188</v>
      </c>
      <c r="S580" s="1">
        <v>3000</v>
      </c>
      <c r="T580" s="1">
        <v>89885</v>
      </c>
      <c r="U580" s="1">
        <v>92885</v>
      </c>
      <c r="V580" s="1" t="s">
        <v>2347</v>
      </c>
      <c r="W580" s="129" t="s">
        <v>7189</v>
      </c>
      <c r="X580" t="s">
        <v>7190</v>
      </c>
      <c r="Y580" t="s">
        <v>644</v>
      </c>
      <c r="Z580" t="s">
        <v>645</v>
      </c>
    </row>
    <row r="581" spans="1:26" x14ac:dyDescent="0.3">
      <c r="A581" s="1" t="s">
        <v>7191</v>
      </c>
      <c r="B581" s="126" t="s">
        <v>6867</v>
      </c>
      <c r="C581" s="54" t="s">
        <v>2544</v>
      </c>
      <c r="D581" s="127" t="s">
        <v>3520</v>
      </c>
      <c r="E581" s="1">
        <v>55860</v>
      </c>
      <c r="F581" s="1">
        <v>35</v>
      </c>
      <c r="G581" s="1">
        <v>2444</v>
      </c>
      <c r="H581" s="1" t="s">
        <v>630</v>
      </c>
      <c r="I581" s="1" t="s">
        <v>7192</v>
      </c>
      <c r="J581" s="1" t="s">
        <v>7193</v>
      </c>
      <c r="K581" s="126" t="s">
        <v>7194</v>
      </c>
      <c r="L581" s="1" t="s">
        <v>7092</v>
      </c>
      <c r="M581" s="131">
        <v>521286</v>
      </c>
      <c r="N581" s="126" t="s">
        <v>6874</v>
      </c>
      <c r="O581" s="131">
        <v>9705684984</v>
      </c>
      <c r="P581" s="1" t="s">
        <v>682</v>
      </c>
      <c r="Q581" s="1" t="s">
        <v>7195</v>
      </c>
      <c r="R581" s="1" t="s">
        <v>7196</v>
      </c>
      <c r="S581" s="1">
        <v>3000</v>
      </c>
      <c r="T581" s="1">
        <v>50652</v>
      </c>
      <c r="U581" s="1">
        <v>53652</v>
      </c>
      <c r="V581" s="1" t="s">
        <v>6466</v>
      </c>
      <c r="W581" s="129" t="s">
        <v>7197</v>
      </c>
      <c r="X581" t="s">
        <v>7198</v>
      </c>
      <c r="Y581" t="s">
        <v>644</v>
      </c>
      <c r="Z581" t="s">
        <v>645</v>
      </c>
    </row>
    <row r="582" spans="1:26" x14ac:dyDescent="0.3">
      <c r="A582" s="1" t="s">
        <v>7199</v>
      </c>
      <c r="B582" s="126" t="s">
        <v>6867</v>
      </c>
      <c r="C582" s="54" t="s">
        <v>2565</v>
      </c>
      <c r="D582" s="127" t="s">
        <v>7200</v>
      </c>
      <c r="E582" s="1">
        <v>63700</v>
      </c>
      <c r="F582" s="1">
        <v>24</v>
      </c>
      <c r="G582" s="1">
        <v>3444</v>
      </c>
      <c r="H582" s="1" t="s">
        <v>630</v>
      </c>
      <c r="I582" s="1" t="s">
        <v>7201</v>
      </c>
      <c r="J582" s="1" t="s">
        <v>7202</v>
      </c>
      <c r="K582" s="126" t="s">
        <v>7203</v>
      </c>
      <c r="L582" s="1" t="s">
        <v>6998</v>
      </c>
      <c r="M582" s="131">
        <v>522309</v>
      </c>
      <c r="N582" s="126" t="s">
        <v>6874</v>
      </c>
      <c r="O582" s="131">
        <v>9347159172</v>
      </c>
      <c r="P582" s="1" t="s">
        <v>7204</v>
      </c>
      <c r="Q582" s="1" t="s">
        <v>7205</v>
      </c>
      <c r="R582" s="1" t="s">
        <v>7206</v>
      </c>
      <c r="S582" s="1">
        <v>3000</v>
      </c>
      <c r="T582" s="1">
        <v>66622</v>
      </c>
      <c r="U582" s="1">
        <v>69622</v>
      </c>
      <c r="V582" s="1" t="s">
        <v>1078</v>
      </c>
      <c r="W582" s="129" t="s">
        <v>7207</v>
      </c>
      <c r="X582" t="s">
        <v>7208</v>
      </c>
      <c r="Y582" t="s">
        <v>644</v>
      </c>
      <c r="Z582" t="s">
        <v>645</v>
      </c>
    </row>
    <row r="583" spans="1:26" x14ac:dyDescent="0.3">
      <c r="A583" s="1" t="s">
        <v>7209</v>
      </c>
      <c r="B583" s="126" t="s">
        <v>6867</v>
      </c>
      <c r="C583" s="54" t="s">
        <v>2565</v>
      </c>
      <c r="D583" s="127" t="s">
        <v>6810</v>
      </c>
      <c r="E583" s="1">
        <v>67500</v>
      </c>
      <c r="F583" s="1">
        <v>30</v>
      </c>
      <c r="G583" s="1">
        <v>2959</v>
      </c>
      <c r="H583" s="1" t="s">
        <v>630</v>
      </c>
      <c r="I583" s="1" t="s">
        <v>7210</v>
      </c>
      <c r="J583" s="1" t="s">
        <v>7211</v>
      </c>
      <c r="K583" s="126" t="s">
        <v>7212</v>
      </c>
      <c r="L583" s="1" t="s">
        <v>6998</v>
      </c>
      <c r="M583" s="131">
        <v>522101</v>
      </c>
      <c r="N583" s="126" t="s">
        <v>6874</v>
      </c>
      <c r="O583" s="131">
        <v>9121914583</v>
      </c>
      <c r="P583" s="1" t="s">
        <v>7213</v>
      </c>
      <c r="Q583" s="1" t="s">
        <v>7214</v>
      </c>
      <c r="R583" s="1" t="s">
        <v>7215</v>
      </c>
      <c r="S583" s="1">
        <v>3000</v>
      </c>
      <c r="T583" s="1">
        <v>86916</v>
      </c>
      <c r="U583" s="1">
        <v>89916</v>
      </c>
      <c r="V583" s="1" t="s">
        <v>1078</v>
      </c>
      <c r="W583" s="129" t="s">
        <v>7216</v>
      </c>
      <c r="X583" t="s">
        <v>7217</v>
      </c>
      <c r="Y583" t="s">
        <v>644</v>
      </c>
      <c r="Z583" t="s">
        <v>645</v>
      </c>
    </row>
    <row r="584" spans="1:26" x14ac:dyDescent="0.3">
      <c r="A584" s="1" t="s">
        <v>7218</v>
      </c>
      <c r="B584" s="126" t="s">
        <v>6867</v>
      </c>
      <c r="C584" s="54" t="s">
        <v>2544</v>
      </c>
      <c r="D584" s="127" t="s">
        <v>7219</v>
      </c>
      <c r="E584" s="1">
        <v>46949</v>
      </c>
      <c r="F584" s="1">
        <v>18</v>
      </c>
      <c r="G584" s="1">
        <v>3167</v>
      </c>
      <c r="H584" s="1" t="s">
        <v>630</v>
      </c>
      <c r="I584" s="1" t="s">
        <v>7220</v>
      </c>
      <c r="J584" s="1" t="s">
        <v>6884</v>
      </c>
      <c r="K584" s="126" t="s">
        <v>7221</v>
      </c>
      <c r="L584" s="1" t="s">
        <v>7092</v>
      </c>
      <c r="M584" s="131">
        <v>521228</v>
      </c>
      <c r="N584" s="126" t="s">
        <v>6874</v>
      </c>
      <c r="O584" s="131">
        <v>6300626982</v>
      </c>
      <c r="P584" s="1" t="s">
        <v>7222</v>
      </c>
      <c r="Q584" s="1" t="s">
        <v>7223</v>
      </c>
      <c r="R584" s="1" t="s">
        <v>7224</v>
      </c>
      <c r="S584" s="1">
        <v>3000</v>
      </c>
      <c r="T584" s="1">
        <v>42905</v>
      </c>
      <c r="U584" s="1">
        <v>45905</v>
      </c>
      <c r="V584" s="1" t="s">
        <v>1078</v>
      </c>
      <c r="W584" s="129" t="s">
        <v>7225</v>
      </c>
      <c r="X584" t="s">
        <v>7226</v>
      </c>
      <c r="Y584" t="s">
        <v>644</v>
      </c>
      <c r="Z584" t="s">
        <v>645</v>
      </c>
    </row>
    <row r="585" spans="1:26" x14ac:dyDescent="0.3">
      <c r="A585" s="1" t="s">
        <v>7227</v>
      </c>
      <c r="B585" s="126" t="s">
        <v>6867</v>
      </c>
      <c r="C585" s="54" t="s">
        <v>2565</v>
      </c>
      <c r="D585" s="127" t="s">
        <v>4438</v>
      </c>
      <c r="E585" s="1">
        <v>95000</v>
      </c>
      <c r="F585" s="1">
        <v>30</v>
      </c>
      <c r="G585" s="1">
        <v>4244</v>
      </c>
      <c r="H585" s="1" t="s">
        <v>630</v>
      </c>
      <c r="I585" s="1" t="s">
        <v>7228</v>
      </c>
      <c r="J585" s="1" t="s">
        <v>7229</v>
      </c>
      <c r="K585" s="126" t="s">
        <v>7230</v>
      </c>
      <c r="L585" s="1" t="s">
        <v>6998</v>
      </c>
      <c r="M585" s="131">
        <v>522101</v>
      </c>
      <c r="N585" s="126" t="s">
        <v>6874</v>
      </c>
      <c r="O585" s="131">
        <v>6303851527</v>
      </c>
      <c r="P585" s="1" t="s">
        <v>7231</v>
      </c>
      <c r="Q585" s="1" t="s">
        <v>7232</v>
      </c>
      <c r="R585" s="1" t="s">
        <v>7233</v>
      </c>
      <c r="S585" s="1">
        <v>3000</v>
      </c>
      <c r="T585" s="1">
        <v>119933</v>
      </c>
      <c r="U585" s="1">
        <v>122933</v>
      </c>
      <c r="V585" s="1" t="s">
        <v>7234</v>
      </c>
      <c r="W585" s="129" t="s">
        <v>7235</v>
      </c>
      <c r="X585" t="s">
        <v>7236</v>
      </c>
      <c r="Y585" t="s">
        <v>644</v>
      </c>
      <c r="Z585" t="s">
        <v>645</v>
      </c>
    </row>
    <row r="586" spans="1:26" x14ac:dyDescent="0.3">
      <c r="A586" s="1" t="s">
        <v>7237</v>
      </c>
      <c r="B586" s="126" t="s">
        <v>6867</v>
      </c>
      <c r="C586" s="54" t="s">
        <v>2544</v>
      </c>
      <c r="D586" s="127" t="s">
        <v>6682</v>
      </c>
      <c r="E586" s="1">
        <v>62770</v>
      </c>
      <c r="F586" s="1">
        <v>24</v>
      </c>
      <c r="G586" s="1">
        <v>3270</v>
      </c>
      <c r="H586" s="1" t="s">
        <v>630</v>
      </c>
      <c r="I586" s="1" t="s">
        <v>7238</v>
      </c>
      <c r="J586" s="1" t="s">
        <v>7239</v>
      </c>
      <c r="K586" s="126" t="s">
        <v>7240</v>
      </c>
      <c r="L586" s="1" t="s">
        <v>7241</v>
      </c>
      <c r="M586" s="131">
        <v>530018</v>
      </c>
      <c r="N586" s="126" t="s">
        <v>6874</v>
      </c>
      <c r="O586" s="131">
        <v>7674946430</v>
      </c>
      <c r="P586" s="1" t="s">
        <v>682</v>
      </c>
      <c r="Q586" s="1" t="s">
        <v>7242</v>
      </c>
      <c r="R586" s="1" t="s">
        <v>7243</v>
      </c>
      <c r="S586" s="1">
        <v>3000</v>
      </c>
      <c r="T586" s="1">
        <v>79541</v>
      </c>
      <c r="U586" s="1">
        <v>82541</v>
      </c>
      <c r="V586" s="1" t="s">
        <v>3650</v>
      </c>
      <c r="W586" s="129" t="s">
        <v>7244</v>
      </c>
      <c r="X586" t="s">
        <v>7245</v>
      </c>
      <c r="Y586" t="s">
        <v>644</v>
      </c>
      <c r="Z586" t="s">
        <v>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3E1D-488A-4F16-92A5-771B6D53F82A}">
  <dimension ref="D1:J4"/>
  <sheetViews>
    <sheetView showGridLines="0" workbookViewId="0">
      <selection activeCell="H25" sqref="H25"/>
    </sheetView>
  </sheetViews>
  <sheetFormatPr defaultRowHeight="14.4" x14ac:dyDescent="0.3"/>
  <cols>
    <col min="4" max="4" width="7" bestFit="1" customWidth="1"/>
    <col min="5" max="5" width="15.21875" bestFit="1" customWidth="1"/>
    <col min="6" max="6" width="14.33203125" style="1" bestFit="1" customWidth="1"/>
    <col min="7" max="7" width="16.6640625" style="1" bestFit="1" customWidth="1"/>
    <col min="8" max="8" width="22.77734375" style="1" bestFit="1" customWidth="1"/>
    <col min="10" max="10" width="19.88671875" bestFit="1" customWidth="1"/>
  </cols>
  <sheetData>
    <row r="1" spans="4:10" x14ac:dyDescent="0.3">
      <c r="F1" s="132" t="s">
        <v>608</v>
      </c>
      <c r="G1" s="132" t="s">
        <v>609</v>
      </c>
      <c r="H1" s="132" t="s">
        <v>610</v>
      </c>
    </row>
    <row r="3" spans="4:10" x14ac:dyDescent="0.3">
      <c r="D3" s="133" t="s">
        <v>7246</v>
      </c>
    </row>
    <row r="4" spans="4:10" x14ac:dyDescent="0.3">
      <c r="D4" s="3" t="s">
        <v>91</v>
      </c>
      <c r="J4" s="34" t="s">
        <v>7247</v>
      </c>
    </row>
  </sheetData>
  <dataValidations count="1">
    <dataValidation type="list" allowBlank="1" showInputMessage="1" showErrorMessage="1" sqref="D4" xr:uid="{D1F9E052-BDB2-42E6-9B4A-6F225CA1576B}">
      <formula1>"West Bengal,Gujarat,Uttar Pradesh,Assam,Rajasthan,Bihar,Haryana,Madhya Pradesh,Jharkhand,Delhi"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ADAC-EEBA-40F0-BCE7-FA5C2A48109A}">
  <sheetPr codeName="Sheet5"/>
  <dimension ref="C2:AA14"/>
  <sheetViews>
    <sheetView showGridLines="0" topLeftCell="A3" zoomScale="79" workbookViewId="0">
      <selection activeCell="K12" sqref="K12"/>
    </sheetView>
  </sheetViews>
  <sheetFormatPr defaultRowHeight="14.4" x14ac:dyDescent="0.3"/>
  <cols>
    <col min="3" max="3" width="24.5546875" bestFit="1" customWidth="1"/>
    <col min="4" max="4" width="9.21875" customWidth="1"/>
    <col min="5" max="5" width="14.5546875" customWidth="1"/>
    <col min="6" max="6" width="15.33203125" customWidth="1"/>
    <col min="8" max="8" width="24.5546875" bestFit="1" customWidth="1"/>
    <col min="9" max="9" width="13.21875" customWidth="1"/>
    <col min="10" max="10" width="12.21875" customWidth="1"/>
    <col min="11" max="11" width="14.6640625" customWidth="1"/>
    <col min="13" max="13" width="25" bestFit="1" customWidth="1"/>
    <col min="14" max="14" width="9" bestFit="1" customWidth="1"/>
    <col min="15" max="15" width="11.6640625" bestFit="1" customWidth="1"/>
    <col min="16" max="16" width="9.77734375" bestFit="1" customWidth="1"/>
  </cols>
  <sheetData>
    <row r="2" spans="3:27" x14ac:dyDescent="0.3">
      <c r="AA2" t="e">
        <f>TRIM(RIGHT(SUBSTITUTE(#REF!," ",REPT(" ",50)),25))</f>
        <v>#REF!</v>
      </c>
    </row>
    <row r="4" spans="3:27" x14ac:dyDescent="0.3">
      <c r="C4" s="138" t="s">
        <v>149</v>
      </c>
      <c r="D4" s="138"/>
      <c r="E4" s="138"/>
      <c r="F4" s="138"/>
      <c r="H4" s="138" t="s">
        <v>150</v>
      </c>
      <c r="I4" s="138"/>
      <c r="J4" s="138"/>
      <c r="K4" s="138"/>
      <c r="M4" s="138" t="s">
        <v>172</v>
      </c>
      <c r="N4" s="138"/>
    </row>
    <row r="5" spans="3:27" ht="15.6" x14ac:dyDescent="0.3">
      <c r="C5" s="15" t="s">
        <v>137</v>
      </c>
      <c r="D5" s="15" t="s">
        <v>146</v>
      </c>
      <c r="E5" s="15" t="s">
        <v>147</v>
      </c>
      <c r="F5" s="15" t="s">
        <v>148</v>
      </c>
      <c r="H5" s="15" t="s">
        <v>137</v>
      </c>
      <c r="I5" s="15" t="s">
        <v>146</v>
      </c>
      <c r="J5" s="15" t="s">
        <v>147</v>
      </c>
      <c r="K5" s="15" t="s">
        <v>148</v>
      </c>
      <c r="M5" s="15" t="s">
        <v>137</v>
      </c>
      <c r="N5" s="15" t="s">
        <v>171</v>
      </c>
    </row>
    <row r="6" spans="3:27" x14ac:dyDescent="0.3">
      <c r="C6" s="1" t="s">
        <v>138</v>
      </c>
      <c r="D6" s="1"/>
      <c r="E6" s="1"/>
      <c r="F6" s="1"/>
      <c r="H6" s="1" t="s">
        <v>138</v>
      </c>
      <c r="I6" s="1"/>
      <c r="J6" s="1"/>
      <c r="K6" s="1"/>
      <c r="M6" s="1" t="s">
        <v>173</v>
      </c>
      <c r="N6" s="1"/>
    </row>
    <row r="7" spans="3:27" x14ac:dyDescent="0.3">
      <c r="C7" s="1" t="s">
        <v>139</v>
      </c>
      <c r="D7" s="1"/>
      <c r="E7" s="1"/>
      <c r="F7" s="1"/>
      <c r="H7" s="1" t="s">
        <v>139</v>
      </c>
      <c r="I7" s="1"/>
      <c r="J7" s="1"/>
      <c r="K7" s="1"/>
      <c r="M7" s="1" t="s">
        <v>174</v>
      </c>
      <c r="N7" s="1"/>
    </row>
    <row r="8" spans="3:27" x14ac:dyDescent="0.3">
      <c r="C8" s="1" t="s">
        <v>140</v>
      </c>
      <c r="D8" s="1"/>
      <c r="E8" s="1"/>
      <c r="F8" s="1"/>
      <c r="H8" s="1" t="s">
        <v>140</v>
      </c>
      <c r="I8" s="1"/>
      <c r="J8" s="1"/>
      <c r="K8" s="1"/>
      <c r="M8" s="1" t="s">
        <v>175</v>
      </c>
      <c r="N8" s="1"/>
    </row>
    <row r="9" spans="3:27" x14ac:dyDescent="0.3">
      <c r="C9" s="1" t="s">
        <v>141</v>
      </c>
      <c r="D9" s="1"/>
      <c r="E9" s="1"/>
      <c r="F9" s="1"/>
      <c r="H9" s="1" t="s">
        <v>141</v>
      </c>
      <c r="I9" s="1"/>
      <c r="J9" s="1"/>
      <c r="K9" s="1"/>
      <c r="M9" s="1" t="s">
        <v>176</v>
      </c>
      <c r="N9" s="1"/>
    </row>
    <row r="10" spans="3:27" x14ac:dyDescent="0.3">
      <c r="C10" s="1" t="s">
        <v>142</v>
      </c>
      <c r="D10" s="1"/>
      <c r="E10" s="1"/>
      <c r="F10" s="1"/>
      <c r="H10" s="1" t="s">
        <v>142</v>
      </c>
      <c r="I10" s="1"/>
      <c r="J10" s="1"/>
      <c r="K10" s="1"/>
      <c r="M10" s="1" t="s">
        <v>177</v>
      </c>
      <c r="N10" s="1"/>
    </row>
    <row r="11" spans="3:27" x14ac:dyDescent="0.3">
      <c r="C11" s="1" t="s">
        <v>143</v>
      </c>
      <c r="D11" s="1"/>
      <c r="E11" s="1"/>
      <c r="F11" s="1"/>
      <c r="H11" s="1" t="s">
        <v>143</v>
      </c>
      <c r="I11" s="1"/>
      <c r="J11" s="1"/>
      <c r="K11" s="1"/>
      <c r="M11" s="1" t="s">
        <v>178</v>
      </c>
      <c r="N11" s="1"/>
    </row>
    <row r="12" spans="3:27" x14ac:dyDescent="0.3">
      <c r="C12" s="1" t="s">
        <v>144</v>
      </c>
      <c r="D12" s="1"/>
      <c r="E12" s="1"/>
      <c r="F12" s="1"/>
      <c r="H12" s="1" t="s">
        <v>144</v>
      </c>
      <c r="I12" s="1"/>
      <c r="J12" s="1"/>
      <c r="K12" s="1"/>
      <c r="M12" s="1" t="s">
        <v>179</v>
      </c>
      <c r="N12" s="1"/>
    </row>
    <row r="13" spans="3:27" x14ac:dyDescent="0.3">
      <c r="C13" s="1" t="s">
        <v>141</v>
      </c>
      <c r="D13" s="1"/>
      <c r="E13" s="1"/>
      <c r="F13" s="1"/>
      <c r="H13" s="1" t="s">
        <v>141</v>
      </c>
      <c r="I13" s="1"/>
      <c r="J13" s="1"/>
      <c r="K13" s="1"/>
      <c r="M13" s="1" t="s">
        <v>176</v>
      </c>
      <c r="N13" s="1"/>
    </row>
    <row r="14" spans="3:27" x14ac:dyDescent="0.3">
      <c r="C14" s="1" t="s">
        <v>145</v>
      </c>
      <c r="D14" s="1"/>
      <c r="E14" s="1"/>
      <c r="F14" s="1"/>
      <c r="H14" s="1" t="s">
        <v>145</v>
      </c>
      <c r="I14" s="1"/>
      <c r="J14" s="1"/>
      <c r="K14" s="1"/>
      <c r="M14" s="1" t="s">
        <v>180</v>
      </c>
      <c r="N14" s="1"/>
    </row>
  </sheetData>
  <mergeCells count="3">
    <mergeCell ref="C4:F4"/>
    <mergeCell ref="H4:K4"/>
    <mergeCell ref="M4:N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390E-440A-4C37-8A8E-D0742A7F0D9F}">
  <sheetPr codeName="Sheet7"/>
  <dimension ref="C3:E19"/>
  <sheetViews>
    <sheetView showGridLines="0" workbookViewId="0">
      <selection activeCell="D14" sqref="D14"/>
    </sheetView>
  </sheetViews>
  <sheetFormatPr defaultRowHeight="14.4" x14ac:dyDescent="0.3"/>
  <cols>
    <col min="3" max="3" width="19.109375" bestFit="1" customWidth="1"/>
    <col min="4" max="4" width="15.88671875" bestFit="1" customWidth="1"/>
  </cols>
  <sheetData>
    <row r="3" spans="3:5" x14ac:dyDescent="0.3">
      <c r="C3" s="19" t="s">
        <v>214</v>
      </c>
      <c r="D3" s="20" t="s">
        <v>257</v>
      </c>
      <c r="E3" s="20" t="s">
        <v>258</v>
      </c>
    </row>
    <row r="4" spans="3:5" x14ac:dyDescent="0.3">
      <c r="C4" s="3" t="s">
        <v>241</v>
      </c>
      <c r="D4" s="18" t="s">
        <v>226</v>
      </c>
      <c r="E4" s="1"/>
    </row>
    <row r="5" spans="3:5" x14ac:dyDescent="0.3">
      <c r="C5" s="3" t="s">
        <v>242</v>
      </c>
      <c r="D5" s="18" t="s">
        <v>215</v>
      </c>
      <c r="E5" s="1"/>
    </row>
    <row r="6" spans="3:5" x14ac:dyDescent="0.3">
      <c r="C6" s="3" t="s">
        <v>243</v>
      </c>
      <c r="D6" s="18" t="s">
        <v>232</v>
      </c>
      <c r="E6" s="1"/>
    </row>
    <row r="7" spans="3:5" x14ac:dyDescent="0.3">
      <c r="C7" s="3" t="s">
        <v>244</v>
      </c>
      <c r="D7" s="18" t="s">
        <v>234</v>
      </c>
      <c r="E7" s="1"/>
    </row>
    <row r="8" spans="3:5" x14ac:dyDescent="0.3">
      <c r="C8" s="3" t="s">
        <v>245</v>
      </c>
      <c r="D8" s="18" t="s">
        <v>223</v>
      </c>
      <c r="E8" s="1"/>
    </row>
    <row r="9" spans="3:5" x14ac:dyDescent="0.3">
      <c r="C9" s="3" t="s">
        <v>246</v>
      </c>
      <c r="D9" s="18" t="s">
        <v>219</v>
      </c>
      <c r="E9" s="1"/>
    </row>
    <row r="10" spans="3:5" x14ac:dyDescent="0.3">
      <c r="C10" s="3" t="s">
        <v>247</v>
      </c>
      <c r="D10" s="18" t="s">
        <v>219</v>
      </c>
      <c r="E10" s="1"/>
    </row>
    <row r="11" spans="3:5" x14ac:dyDescent="0.3">
      <c r="C11" s="3" t="s">
        <v>248</v>
      </c>
      <c r="D11" s="18" t="s">
        <v>239</v>
      </c>
      <c r="E11" s="1"/>
    </row>
    <row r="12" spans="3:5" x14ac:dyDescent="0.3">
      <c r="C12" s="3" t="s">
        <v>249</v>
      </c>
      <c r="D12" s="18" t="s">
        <v>224</v>
      </c>
      <c r="E12" s="1"/>
    </row>
    <row r="13" spans="3:5" x14ac:dyDescent="0.3">
      <c r="C13" s="3" t="s">
        <v>250</v>
      </c>
      <c r="D13" s="18" t="s">
        <v>233</v>
      </c>
      <c r="E13" s="1"/>
    </row>
    <row r="14" spans="3:5" x14ac:dyDescent="0.3">
      <c r="C14" s="3" t="s">
        <v>251</v>
      </c>
      <c r="D14" s="18" t="s">
        <v>215</v>
      </c>
      <c r="E14" s="1"/>
    </row>
    <row r="15" spans="3:5" x14ac:dyDescent="0.3">
      <c r="C15" s="3" t="s">
        <v>252</v>
      </c>
      <c r="D15" s="18" t="s">
        <v>234</v>
      </c>
      <c r="E15" s="1"/>
    </row>
    <row r="16" spans="3:5" x14ac:dyDescent="0.3">
      <c r="C16" s="3" t="s">
        <v>253</v>
      </c>
      <c r="D16" s="18" t="s">
        <v>235</v>
      </c>
      <c r="E16" s="1"/>
    </row>
    <row r="17" spans="3:5" x14ac:dyDescent="0.3">
      <c r="C17" s="3" t="s">
        <v>254</v>
      </c>
      <c r="D17" s="18" t="s">
        <v>228</v>
      </c>
      <c r="E17" s="1"/>
    </row>
    <row r="18" spans="3:5" x14ac:dyDescent="0.3">
      <c r="C18" s="3" t="s">
        <v>255</v>
      </c>
      <c r="D18" s="18" t="s">
        <v>228</v>
      </c>
      <c r="E18" s="1"/>
    </row>
    <row r="19" spans="3:5" x14ac:dyDescent="0.3">
      <c r="C19" s="3" t="s">
        <v>256</v>
      </c>
      <c r="D19" s="18" t="s">
        <v>228</v>
      </c>
      <c r="E1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442D5-5836-4885-9E5D-449D60CDC84D}">
  <sheetPr codeName="Sheet8"/>
  <dimension ref="A1:D34"/>
  <sheetViews>
    <sheetView showGridLines="0" workbookViewId="0">
      <selection activeCell="D7" sqref="D7"/>
    </sheetView>
  </sheetViews>
  <sheetFormatPr defaultRowHeight="14.4" x14ac:dyDescent="0.3"/>
  <cols>
    <col min="1" max="1" width="9.109375" bestFit="1" customWidth="1"/>
    <col min="2" max="2" width="18.77734375" customWidth="1"/>
    <col min="3" max="3" width="22.21875" bestFit="1" customWidth="1"/>
    <col min="4" max="4" width="47.21875" bestFit="1" customWidth="1"/>
  </cols>
  <sheetData>
    <row r="1" spans="1:4" x14ac:dyDescent="0.3">
      <c r="A1" s="26" t="s">
        <v>107</v>
      </c>
      <c r="B1" s="27" t="s">
        <v>294</v>
      </c>
      <c r="C1" s="27" t="s">
        <v>295</v>
      </c>
      <c r="D1" s="27" t="s">
        <v>368</v>
      </c>
    </row>
    <row r="2" spans="1:4" x14ac:dyDescent="0.3">
      <c r="A2" s="1" t="s">
        <v>261</v>
      </c>
      <c r="B2" s="1"/>
      <c r="C2" s="1"/>
      <c r="D2" s="1"/>
    </row>
    <row r="3" spans="1:4" x14ac:dyDescent="0.3">
      <c r="A3" s="1" t="s">
        <v>283</v>
      </c>
      <c r="B3" s="1"/>
      <c r="C3" s="1"/>
      <c r="D3" s="1"/>
    </row>
    <row r="4" spans="1:4" x14ac:dyDescent="0.3">
      <c r="A4" s="1" t="s">
        <v>284</v>
      </c>
      <c r="B4" s="1"/>
      <c r="C4" s="1"/>
      <c r="D4" s="1"/>
    </row>
    <row r="5" spans="1:4" x14ac:dyDescent="0.3">
      <c r="A5" s="1" t="s">
        <v>285</v>
      </c>
      <c r="B5" s="1"/>
      <c r="C5" s="1"/>
      <c r="D5" s="1"/>
    </row>
    <row r="6" spans="1:4" x14ac:dyDescent="0.3">
      <c r="A6" s="1" t="s">
        <v>286</v>
      </c>
      <c r="B6" s="1"/>
      <c r="C6" s="1"/>
      <c r="D6" s="1"/>
    </row>
    <row r="7" spans="1:4" x14ac:dyDescent="0.3">
      <c r="A7" s="1" t="s">
        <v>287</v>
      </c>
      <c r="B7" s="1"/>
      <c r="C7" s="1"/>
      <c r="D7" s="1"/>
    </row>
    <row r="8" spans="1:4" x14ac:dyDescent="0.3">
      <c r="A8" s="1" t="s">
        <v>288</v>
      </c>
      <c r="B8" s="1"/>
      <c r="C8" s="1"/>
      <c r="D8" s="1"/>
    </row>
    <row r="9" spans="1:4" x14ac:dyDescent="0.3">
      <c r="A9" s="1" t="s">
        <v>289</v>
      </c>
      <c r="B9" s="1"/>
      <c r="C9" s="1"/>
      <c r="D9" s="1"/>
    </row>
    <row r="10" spans="1:4" x14ac:dyDescent="0.3">
      <c r="A10" s="1" t="s">
        <v>262</v>
      </c>
      <c r="B10" s="1"/>
      <c r="C10" s="1"/>
      <c r="D10" s="1"/>
    </row>
    <row r="11" spans="1:4" x14ac:dyDescent="0.3">
      <c r="A11" s="1" t="s">
        <v>263</v>
      </c>
      <c r="B11" s="1"/>
      <c r="C11" s="1"/>
      <c r="D11" s="1"/>
    </row>
    <row r="12" spans="1:4" x14ac:dyDescent="0.3">
      <c r="A12" s="1" t="s">
        <v>264</v>
      </c>
      <c r="B12" s="1"/>
      <c r="C12" s="1"/>
      <c r="D12" s="1"/>
    </row>
    <row r="13" spans="1:4" x14ac:dyDescent="0.3">
      <c r="A13" s="1" t="s">
        <v>265</v>
      </c>
      <c r="B13" s="1"/>
      <c r="C13" s="1"/>
      <c r="D13" s="1"/>
    </row>
    <row r="14" spans="1:4" x14ac:dyDescent="0.3">
      <c r="A14" s="1" t="s">
        <v>266</v>
      </c>
      <c r="B14" s="1"/>
      <c r="C14" s="1"/>
      <c r="D14" s="1"/>
    </row>
    <row r="15" spans="1:4" x14ac:dyDescent="0.3">
      <c r="A15" s="1" t="s">
        <v>290</v>
      </c>
      <c r="B15" s="1"/>
      <c r="C15" s="1"/>
      <c r="D15" s="1"/>
    </row>
    <row r="16" spans="1:4" x14ac:dyDescent="0.3">
      <c r="A16" s="1" t="s">
        <v>291</v>
      </c>
      <c r="B16" s="1"/>
      <c r="C16" s="1"/>
      <c r="D16" s="1"/>
    </row>
    <row r="17" spans="1:4" x14ac:dyDescent="0.3">
      <c r="A17" s="1" t="s">
        <v>292</v>
      </c>
      <c r="B17" s="1"/>
      <c r="C17" s="1"/>
      <c r="D17" s="1"/>
    </row>
    <row r="18" spans="1:4" x14ac:dyDescent="0.3">
      <c r="A18" s="1" t="s">
        <v>280</v>
      </c>
      <c r="B18" s="1"/>
      <c r="C18" s="1"/>
      <c r="D18" s="1"/>
    </row>
    <row r="19" spans="1:4" x14ac:dyDescent="0.3">
      <c r="A19" s="1" t="s">
        <v>281</v>
      </c>
      <c r="B19" s="1"/>
      <c r="C19" s="1"/>
      <c r="D19" s="1"/>
    </row>
    <row r="20" spans="1:4" x14ac:dyDescent="0.3">
      <c r="A20" s="1" t="s">
        <v>282</v>
      </c>
      <c r="B20" s="1"/>
      <c r="C20" s="1"/>
      <c r="D20" s="1"/>
    </row>
    <row r="21" spans="1:4" x14ac:dyDescent="0.3">
      <c r="A21" s="1" t="s">
        <v>267</v>
      </c>
      <c r="B21" s="1"/>
      <c r="C21" s="1"/>
      <c r="D21" s="1"/>
    </row>
    <row r="22" spans="1:4" x14ac:dyDescent="0.3">
      <c r="A22" s="1" t="s">
        <v>268</v>
      </c>
      <c r="B22" s="1"/>
      <c r="C22" s="1"/>
      <c r="D22" s="1"/>
    </row>
    <row r="23" spans="1:4" x14ac:dyDescent="0.3">
      <c r="A23" s="1" t="s">
        <v>269</v>
      </c>
      <c r="B23" s="1"/>
      <c r="C23" s="1"/>
      <c r="D23" s="1"/>
    </row>
    <row r="24" spans="1:4" x14ac:dyDescent="0.3">
      <c r="A24" s="1" t="s">
        <v>270</v>
      </c>
      <c r="B24" s="1"/>
      <c r="C24" s="1"/>
      <c r="D24" s="1"/>
    </row>
    <row r="25" spans="1:4" x14ac:dyDescent="0.3">
      <c r="A25" s="1" t="s">
        <v>271</v>
      </c>
      <c r="B25" s="1"/>
      <c r="C25" s="1"/>
      <c r="D25" s="1"/>
    </row>
    <row r="26" spans="1:4" x14ac:dyDescent="0.3">
      <c r="A26" s="1" t="s">
        <v>272</v>
      </c>
      <c r="B26" s="1"/>
      <c r="C26" s="1"/>
      <c r="D26" s="1"/>
    </row>
    <row r="27" spans="1:4" x14ac:dyDescent="0.3">
      <c r="A27" s="1" t="s">
        <v>273</v>
      </c>
      <c r="B27" s="1"/>
      <c r="C27" s="1"/>
      <c r="D27" s="1"/>
    </row>
    <row r="28" spans="1:4" x14ac:dyDescent="0.3">
      <c r="A28" s="1" t="s">
        <v>274</v>
      </c>
      <c r="B28" s="1"/>
      <c r="C28" s="1"/>
      <c r="D28" s="1"/>
    </row>
    <row r="29" spans="1:4" x14ac:dyDescent="0.3">
      <c r="A29" s="1" t="s">
        <v>275</v>
      </c>
      <c r="B29" s="1"/>
      <c r="C29" s="1"/>
      <c r="D29" s="1"/>
    </row>
    <row r="30" spans="1:4" x14ac:dyDescent="0.3">
      <c r="A30" s="1" t="s">
        <v>276</v>
      </c>
      <c r="B30" s="1"/>
      <c r="C30" s="1"/>
      <c r="D30" s="1"/>
    </row>
    <row r="31" spans="1:4" x14ac:dyDescent="0.3">
      <c r="A31" s="1" t="s">
        <v>277</v>
      </c>
      <c r="B31" s="1"/>
      <c r="C31" s="1"/>
      <c r="D31" s="1"/>
    </row>
    <row r="32" spans="1:4" x14ac:dyDescent="0.3">
      <c r="A32" s="1" t="s">
        <v>278</v>
      </c>
      <c r="B32" s="1"/>
      <c r="C32" s="1"/>
      <c r="D32" s="1"/>
    </row>
    <row r="33" spans="1:4" x14ac:dyDescent="0.3">
      <c r="A33" s="1" t="s">
        <v>279</v>
      </c>
      <c r="B33" s="1"/>
      <c r="C33" s="1"/>
      <c r="D33" s="1"/>
    </row>
    <row r="34" spans="1:4" x14ac:dyDescent="0.3">
      <c r="A34" s="1" t="s">
        <v>293</v>
      </c>
      <c r="B34" s="1"/>
      <c r="C34" s="1"/>
      <c r="D34" s="1"/>
    </row>
  </sheetData>
  <conditionalFormatting sqref="A2:D34">
    <cfRule type="expression" dxfId="9" priority="1">
      <formula>ISODD(ROW())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7DDFF-53F6-4833-87CC-A62B6DD4E7A5}">
  <sheetPr codeName="Sheet9"/>
  <dimension ref="A1:G19"/>
  <sheetViews>
    <sheetView showGridLines="0" zoomScale="109" workbookViewId="0">
      <selection activeCell="B14" sqref="B14"/>
    </sheetView>
  </sheetViews>
  <sheetFormatPr defaultRowHeight="14.4" x14ac:dyDescent="0.3"/>
  <cols>
    <col min="1" max="1" width="28.6640625" customWidth="1"/>
    <col min="2" max="2" width="42.6640625" bestFit="1" customWidth="1"/>
    <col min="3" max="3" width="30.44140625" bestFit="1" customWidth="1"/>
    <col min="4" max="4" width="31.21875" bestFit="1" customWidth="1"/>
    <col min="5" max="5" width="21.21875" bestFit="1" customWidth="1"/>
    <col min="6" max="6" width="25.33203125" bestFit="1" customWidth="1"/>
    <col min="7" max="7" width="22.6640625" bestFit="1" customWidth="1"/>
  </cols>
  <sheetData>
    <row r="1" spans="1:7" x14ac:dyDescent="0.3">
      <c r="A1" s="51" t="s">
        <v>345</v>
      </c>
      <c r="B1" s="139" t="s">
        <v>344</v>
      </c>
      <c r="C1" s="140"/>
      <c r="D1" s="140"/>
    </row>
    <row r="2" spans="1:7" x14ac:dyDescent="0.3">
      <c r="A2" s="43" t="s">
        <v>404</v>
      </c>
      <c r="B2" s="35" t="s">
        <v>331</v>
      </c>
    </row>
    <row r="3" spans="1:7" x14ac:dyDescent="0.3">
      <c r="A3" s="44" t="s">
        <v>346</v>
      </c>
      <c r="B3" s="36" t="s">
        <v>339</v>
      </c>
    </row>
    <row r="4" spans="1:7" ht="15.45" customHeight="1" x14ac:dyDescent="0.3">
      <c r="A4" s="45" t="s">
        <v>333</v>
      </c>
      <c r="B4" s="37" t="s">
        <v>332</v>
      </c>
    </row>
    <row r="5" spans="1:7" x14ac:dyDescent="0.3">
      <c r="A5" s="46" t="s">
        <v>347</v>
      </c>
      <c r="B5" s="38" t="s">
        <v>334</v>
      </c>
    </row>
    <row r="6" spans="1:7" x14ac:dyDescent="0.3">
      <c r="A6" s="47" t="s">
        <v>348</v>
      </c>
      <c r="B6" s="39" t="s">
        <v>335</v>
      </c>
    </row>
    <row r="7" spans="1:7" x14ac:dyDescent="0.3">
      <c r="A7" s="48" t="s">
        <v>349</v>
      </c>
      <c r="B7" s="40" t="s">
        <v>336</v>
      </c>
    </row>
    <row r="8" spans="1:7" x14ac:dyDescent="0.3">
      <c r="A8" s="49" t="s">
        <v>350</v>
      </c>
      <c r="B8" s="41" t="s">
        <v>337</v>
      </c>
    </row>
    <row r="9" spans="1:7" x14ac:dyDescent="0.3">
      <c r="A9" s="50" t="s">
        <v>351</v>
      </c>
      <c r="B9" s="42" t="s">
        <v>338</v>
      </c>
    </row>
    <row r="11" spans="1:7" x14ac:dyDescent="0.3">
      <c r="A11" s="52" t="s">
        <v>354</v>
      </c>
      <c r="B11" s="52" t="s">
        <v>343</v>
      </c>
      <c r="C11" s="52" t="s">
        <v>352</v>
      </c>
      <c r="D11" s="52" t="s">
        <v>353</v>
      </c>
      <c r="E11" s="52" t="s">
        <v>341</v>
      </c>
      <c r="F11" s="52" t="s">
        <v>342</v>
      </c>
      <c r="G11" s="52" t="s">
        <v>340</v>
      </c>
    </row>
    <row r="12" spans="1:7" x14ac:dyDescent="0.3">
      <c r="A12" s="1">
        <f>LEN(B2)-LEN(SUBSTITUTE(B2," ",""))+1</f>
        <v>7</v>
      </c>
      <c r="B12" s="1"/>
      <c r="C12" s="1"/>
      <c r="D12" s="1"/>
      <c r="E12" s="1"/>
      <c r="F12" s="1"/>
      <c r="G12" s="1"/>
    </row>
    <row r="13" spans="1:7" x14ac:dyDescent="0.3">
      <c r="B13" s="1"/>
      <c r="C13" s="1"/>
      <c r="D13" s="1"/>
      <c r="E13" s="1"/>
      <c r="F13" s="1"/>
      <c r="G13" s="1"/>
    </row>
    <row r="14" spans="1:7" x14ac:dyDescent="0.3">
      <c r="A14" s="1"/>
      <c r="B14" s="1"/>
      <c r="C14" s="1"/>
      <c r="D14" s="1"/>
      <c r="E14" s="1"/>
      <c r="F14" s="1"/>
      <c r="G14" s="1"/>
    </row>
    <row r="15" spans="1:7" x14ac:dyDescent="0.3">
      <c r="A15" s="1"/>
      <c r="B15" s="1"/>
      <c r="C15" s="1"/>
      <c r="D15" s="1"/>
      <c r="E15" s="1"/>
      <c r="F15" s="1"/>
      <c r="G15" s="1"/>
    </row>
    <row r="16" spans="1:7" x14ac:dyDescent="0.3">
      <c r="A16" s="1"/>
      <c r="B16" s="1"/>
      <c r="C16" s="1"/>
      <c r="D16" s="1"/>
      <c r="E16" s="1"/>
      <c r="F16" s="1"/>
      <c r="G16" s="1"/>
    </row>
    <row r="17" spans="1:7" x14ac:dyDescent="0.3">
      <c r="A17" s="1"/>
      <c r="B17" s="1" t="s">
        <v>514</v>
      </c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F84D-A522-485A-AD42-55C9D1B86615}">
  <sheetPr codeName="Sheet10"/>
  <dimension ref="A1:I25"/>
  <sheetViews>
    <sheetView showGridLines="0" workbookViewId="0">
      <selection activeCell="I25" sqref="I25"/>
    </sheetView>
  </sheetViews>
  <sheetFormatPr defaultRowHeight="14.4" x14ac:dyDescent="0.3"/>
  <cols>
    <col min="1" max="1" width="13.6640625" customWidth="1"/>
    <col min="2" max="2" width="20" customWidth="1"/>
    <col min="3" max="3" width="20.21875" customWidth="1"/>
    <col min="8" max="8" width="15.21875" bestFit="1" customWidth="1"/>
  </cols>
  <sheetData>
    <row r="1" spans="1:9" ht="28.8" x14ac:dyDescent="0.3">
      <c r="A1" s="55" t="s">
        <v>355</v>
      </c>
      <c r="B1" s="55" t="s">
        <v>356</v>
      </c>
      <c r="C1" s="55" t="s">
        <v>357</v>
      </c>
      <c r="D1" s="56" t="s">
        <v>358</v>
      </c>
      <c r="E1" s="57" t="s">
        <v>186</v>
      </c>
    </row>
    <row r="2" spans="1:9" x14ac:dyDescent="0.3">
      <c r="A2" s="54">
        <v>41306</v>
      </c>
      <c r="B2" s="1" t="s">
        <v>241</v>
      </c>
      <c r="C2" s="1" t="s">
        <v>359</v>
      </c>
      <c r="D2" s="1">
        <v>25</v>
      </c>
      <c r="E2" s="53"/>
      <c r="H2" s="25" t="s">
        <v>360</v>
      </c>
      <c r="I2" s="25" t="s">
        <v>361</v>
      </c>
    </row>
    <row r="3" spans="1:9" x14ac:dyDescent="0.3">
      <c r="A3" s="54">
        <v>41306</v>
      </c>
      <c r="B3" s="1" t="s">
        <v>242</v>
      </c>
      <c r="C3" s="1" t="s">
        <v>365</v>
      </c>
      <c r="D3" s="1">
        <v>30</v>
      </c>
      <c r="E3" s="53"/>
      <c r="H3" s="1" t="s">
        <v>359</v>
      </c>
      <c r="I3" s="1">
        <v>25000</v>
      </c>
    </row>
    <row r="4" spans="1:9" x14ac:dyDescent="0.3">
      <c r="A4" s="54">
        <v>41307</v>
      </c>
      <c r="B4" s="1" t="s">
        <v>243</v>
      </c>
      <c r="C4" s="1" t="s">
        <v>365</v>
      </c>
      <c r="D4" s="1">
        <v>15</v>
      </c>
      <c r="E4" s="53"/>
      <c r="H4" s="1" t="s">
        <v>362</v>
      </c>
      <c r="I4" s="1">
        <v>15000</v>
      </c>
    </row>
    <row r="5" spans="1:9" x14ac:dyDescent="0.3">
      <c r="A5" s="54">
        <v>41308</v>
      </c>
      <c r="B5" s="1" t="s">
        <v>244</v>
      </c>
      <c r="C5" s="1" t="s">
        <v>359</v>
      </c>
      <c r="D5" s="1">
        <v>32</v>
      </c>
      <c r="E5" s="53"/>
      <c r="H5" s="1" t="s">
        <v>363</v>
      </c>
      <c r="I5" s="1">
        <v>28000</v>
      </c>
    </row>
    <row r="6" spans="1:9" x14ac:dyDescent="0.3">
      <c r="A6" s="54">
        <v>41308</v>
      </c>
      <c r="B6" s="1" t="s">
        <v>245</v>
      </c>
      <c r="C6" s="1" t="s">
        <v>366</v>
      </c>
      <c r="D6" s="1">
        <v>25</v>
      </c>
      <c r="E6" s="53"/>
      <c r="H6" s="1" t="s">
        <v>364</v>
      </c>
      <c r="I6" s="1">
        <v>15000</v>
      </c>
    </row>
    <row r="7" spans="1:9" x14ac:dyDescent="0.3">
      <c r="A7" s="54">
        <v>41308</v>
      </c>
      <c r="B7" s="1" t="s">
        <v>246</v>
      </c>
      <c r="C7" s="1" t="s">
        <v>365</v>
      </c>
      <c r="D7" s="1">
        <v>18</v>
      </c>
      <c r="E7" s="53"/>
    </row>
    <row r="8" spans="1:9" x14ac:dyDescent="0.3">
      <c r="A8" s="54">
        <v>41308</v>
      </c>
      <c r="B8" s="1" t="s">
        <v>247</v>
      </c>
      <c r="C8" s="1" t="s">
        <v>366</v>
      </c>
      <c r="D8" s="1">
        <v>15</v>
      </c>
      <c r="E8" s="53"/>
    </row>
    <row r="9" spans="1:9" x14ac:dyDescent="0.3">
      <c r="A9" s="54">
        <v>41309</v>
      </c>
      <c r="B9" s="1" t="s">
        <v>248</v>
      </c>
      <c r="C9" s="1" t="s">
        <v>366</v>
      </c>
      <c r="D9" s="1">
        <v>25</v>
      </c>
      <c r="E9" s="53"/>
    </row>
    <row r="10" spans="1:9" x14ac:dyDescent="0.3">
      <c r="A10" s="54">
        <v>41309</v>
      </c>
      <c r="B10" s="1" t="s">
        <v>249</v>
      </c>
      <c r="C10" s="1" t="s">
        <v>359</v>
      </c>
      <c r="D10" s="1">
        <v>30</v>
      </c>
      <c r="E10" s="53"/>
    </row>
    <row r="11" spans="1:9" x14ac:dyDescent="0.3">
      <c r="A11" s="54">
        <v>41309</v>
      </c>
      <c r="B11" s="1" t="s">
        <v>250</v>
      </c>
      <c r="C11" s="1" t="s">
        <v>366</v>
      </c>
      <c r="D11" s="1">
        <v>15</v>
      </c>
      <c r="E11" s="53"/>
    </row>
    <row r="12" spans="1:9" x14ac:dyDescent="0.3">
      <c r="A12" s="54">
        <v>41309</v>
      </c>
      <c r="B12" s="1" t="s">
        <v>251</v>
      </c>
      <c r="C12" s="1" t="s">
        <v>367</v>
      </c>
      <c r="D12" s="1">
        <v>25</v>
      </c>
      <c r="E12" s="53"/>
    </row>
    <row r="13" spans="1:9" x14ac:dyDescent="0.3">
      <c r="A13" s="54">
        <v>41309</v>
      </c>
      <c r="B13" s="1" t="s">
        <v>252</v>
      </c>
      <c r="C13" s="1" t="s">
        <v>365</v>
      </c>
      <c r="D13" s="1">
        <v>14</v>
      </c>
      <c r="E13" s="53"/>
    </row>
    <row r="14" spans="1:9" x14ac:dyDescent="0.3">
      <c r="A14" s="54">
        <v>41310</v>
      </c>
      <c r="B14" s="1" t="s">
        <v>253</v>
      </c>
      <c r="C14" s="1" t="s">
        <v>365</v>
      </c>
      <c r="D14" s="1">
        <v>25</v>
      </c>
      <c r="E14" s="53"/>
    </row>
    <row r="15" spans="1:9" x14ac:dyDescent="0.3">
      <c r="A15" s="54">
        <v>41310</v>
      </c>
      <c r="B15" s="1" t="s">
        <v>254</v>
      </c>
      <c r="C15" s="1" t="s">
        <v>359</v>
      </c>
      <c r="D15" s="1">
        <v>30</v>
      </c>
      <c r="E15" s="53"/>
    </row>
    <row r="16" spans="1:9" x14ac:dyDescent="0.3">
      <c r="A16" s="54">
        <v>41310</v>
      </c>
      <c r="B16" s="1" t="s">
        <v>255</v>
      </c>
      <c r="C16" s="1" t="s">
        <v>367</v>
      </c>
      <c r="D16" s="1">
        <v>15</v>
      </c>
      <c r="E16" s="53"/>
    </row>
    <row r="17" spans="1:5" x14ac:dyDescent="0.3">
      <c r="A17" s="54">
        <v>41310</v>
      </c>
      <c r="B17" s="1" t="s">
        <v>256</v>
      </c>
      <c r="C17" s="1" t="s">
        <v>359</v>
      </c>
      <c r="D17" s="1">
        <v>15</v>
      </c>
      <c r="E17" s="53"/>
    </row>
    <row r="18" spans="1:5" x14ac:dyDescent="0.3">
      <c r="A18" s="54">
        <v>41311</v>
      </c>
      <c r="B18" s="1" t="s">
        <v>246</v>
      </c>
      <c r="C18" s="1" t="s">
        <v>367</v>
      </c>
      <c r="D18" s="1">
        <v>25</v>
      </c>
      <c r="E18" s="53"/>
    </row>
    <row r="19" spans="1:5" x14ac:dyDescent="0.3">
      <c r="A19" s="54">
        <v>41312</v>
      </c>
      <c r="B19" s="1" t="s">
        <v>247</v>
      </c>
      <c r="C19" s="1" t="s">
        <v>359</v>
      </c>
      <c r="D19" s="1">
        <v>30</v>
      </c>
      <c r="E19" s="53"/>
    </row>
    <row r="20" spans="1:5" x14ac:dyDescent="0.3">
      <c r="A20" s="54">
        <v>41313</v>
      </c>
      <c r="B20" s="1" t="s">
        <v>248</v>
      </c>
      <c r="C20" s="1" t="s">
        <v>365</v>
      </c>
      <c r="D20" s="1">
        <v>13</v>
      </c>
      <c r="E20" s="53"/>
    </row>
    <row r="21" spans="1:5" x14ac:dyDescent="0.3">
      <c r="A21" s="54">
        <v>41313</v>
      </c>
      <c r="B21" s="1" t="s">
        <v>249</v>
      </c>
      <c r="C21" s="1" t="s">
        <v>366</v>
      </c>
      <c r="D21" s="1">
        <v>25</v>
      </c>
      <c r="E21" s="53"/>
    </row>
    <row r="22" spans="1:5" x14ac:dyDescent="0.3">
      <c r="A22" s="54">
        <v>41313</v>
      </c>
      <c r="B22" s="1" t="s">
        <v>250</v>
      </c>
      <c r="C22" s="1" t="s">
        <v>367</v>
      </c>
      <c r="D22" s="1">
        <v>30</v>
      </c>
      <c r="E22" s="53"/>
    </row>
    <row r="23" spans="1:5" x14ac:dyDescent="0.3">
      <c r="A23" s="54">
        <v>41313</v>
      </c>
      <c r="B23" s="1" t="s">
        <v>251</v>
      </c>
      <c r="C23" s="1" t="s">
        <v>365</v>
      </c>
      <c r="D23" s="1">
        <v>15</v>
      </c>
      <c r="E23" s="53"/>
    </row>
    <row r="24" spans="1:5" x14ac:dyDescent="0.3">
      <c r="A24" s="54">
        <v>41313</v>
      </c>
      <c r="B24" s="1" t="s">
        <v>254</v>
      </c>
      <c r="C24" s="1" t="s">
        <v>367</v>
      </c>
      <c r="D24" s="1">
        <v>25</v>
      </c>
      <c r="E24" s="53"/>
    </row>
    <row r="25" spans="1:5" x14ac:dyDescent="0.3">
      <c r="A25" s="54">
        <v>41314</v>
      </c>
      <c r="B25" s="1" t="s">
        <v>255</v>
      </c>
      <c r="C25" s="1" t="s">
        <v>365</v>
      </c>
      <c r="D25" s="1">
        <v>34</v>
      </c>
      <c r="E25" s="5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865E1-8872-4E43-A269-13F81E83CFA4}">
  <dimension ref="A1:H100"/>
  <sheetViews>
    <sheetView zoomScale="122" workbookViewId="0">
      <selection activeCell="G13" sqref="G13"/>
    </sheetView>
  </sheetViews>
  <sheetFormatPr defaultRowHeight="14.4" x14ac:dyDescent="0.3"/>
  <cols>
    <col min="3" max="3" width="10.44140625" bestFit="1" customWidth="1"/>
    <col min="6" max="6" width="23.77734375" bestFit="1" customWidth="1"/>
    <col min="8" max="8" width="25.21875" customWidth="1"/>
  </cols>
  <sheetData>
    <row r="1" spans="1:8" x14ac:dyDescent="0.3">
      <c r="A1" s="90" t="s">
        <v>462</v>
      </c>
      <c r="B1" s="90" t="s">
        <v>463</v>
      </c>
      <c r="C1" s="90" t="s">
        <v>464</v>
      </c>
      <c r="D1" s="90" t="s">
        <v>197</v>
      </c>
    </row>
    <row r="2" spans="1:8" x14ac:dyDescent="0.3">
      <c r="A2" s="1" t="s">
        <v>438</v>
      </c>
      <c r="B2" s="1" t="s">
        <v>439</v>
      </c>
      <c r="C2" s="1" t="s">
        <v>440</v>
      </c>
      <c r="D2" s="1">
        <v>511</v>
      </c>
    </row>
    <row r="3" spans="1:8" x14ac:dyDescent="0.3">
      <c r="A3" s="1" t="s">
        <v>441</v>
      </c>
      <c r="B3" s="1" t="s">
        <v>442</v>
      </c>
      <c r="C3" s="1" t="s">
        <v>440</v>
      </c>
      <c r="D3" s="1">
        <v>572</v>
      </c>
      <c r="F3" s="137" t="s">
        <v>443</v>
      </c>
      <c r="G3" s="137"/>
      <c r="H3" s="137"/>
    </row>
    <row r="4" spans="1:8" x14ac:dyDescent="0.3">
      <c r="A4" s="1" t="s">
        <v>441</v>
      </c>
      <c r="B4" s="1" t="s">
        <v>444</v>
      </c>
      <c r="C4" s="1" t="s">
        <v>445</v>
      </c>
      <c r="D4" s="1">
        <v>727</v>
      </c>
    </row>
    <row r="5" spans="1:8" x14ac:dyDescent="0.3">
      <c r="A5" s="1" t="s">
        <v>446</v>
      </c>
      <c r="B5" s="1" t="s">
        <v>442</v>
      </c>
      <c r="C5" s="1" t="s">
        <v>440</v>
      </c>
      <c r="D5" s="1">
        <v>330</v>
      </c>
      <c r="F5" s="68" t="s">
        <v>447</v>
      </c>
      <c r="G5" s="68" t="s">
        <v>448</v>
      </c>
      <c r="H5" s="68" t="s">
        <v>429</v>
      </c>
    </row>
    <row r="6" spans="1:8" x14ac:dyDescent="0.3">
      <c r="A6" s="1" t="s">
        <v>449</v>
      </c>
      <c r="B6" s="1" t="s">
        <v>442</v>
      </c>
      <c r="C6" s="1" t="s">
        <v>445</v>
      </c>
      <c r="D6" s="1">
        <v>754</v>
      </c>
      <c r="F6" s="89" t="s">
        <v>441</v>
      </c>
      <c r="G6" s="1"/>
      <c r="H6" s="1"/>
    </row>
    <row r="7" spans="1:8" x14ac:dyDescent="0.3">
      <c r="A7" s="1" t="s">
        <v>438</v>
      </c>
      <c r="B7" s="1" t="s">
        <v>442</v>
      </c>
      <c r="C7" s="1" t="s">
        <v>450</v>
      </c>
      <c r="D7" s="1">
        <v>253</v>
      </c>
      <c r="F7" s="89" t="s">
        <v>450</v>
      </c>
      <c r="G7" s="1"/>
      <c r="H7" s="1"/>
    </row>
    <row r="8" spans="1:8" x14ac:dyDescent="0.3">
      <c r="A8" s="1" t="s">
        <v>446</v>
      </c>
      <c r="B8" s="1" t="s">
        <v>439</v>
      </c>
      <c r="C8" s="1" t="s">
        <v>450</v>
      </c>
      <c r="D8" s="1">
        <v>480</v>
      </c>
      <c r="F8" s="89" t="s">
        <v>444</v>
      </c>
      <c r="G8" s="1"/>
      <c r="H8" s="1"/>
    </row>
    <row r="9" spans="1:8" x14ac:dyDescent="0.3">
      <c r="A9" s="1" t="s">
        <v>451</v>
      </c>
      <c r="B9" s="1" t="s">
        <v>442</v>
      </c>
      <c r="C9" s="1" t="s">
        <v>452</v>
      </c>
      <c r="D9" s="1">
        <v>379</v>
      </c>
    </row>
    <row r="10" spans="1:8" x14ac:dyDescent="0.3">
      <c r="A10" s="1" t="s">
        <v>438</v>
      </c>
      <c r="B10" s="1" t="s">
        <v>442</v>
      </c>
      <c r="C10" s="1" t="s">
        <v>445</v>
      </c>
      <c r="D10" s="1">
        <v>448</v>
      </c>
      <c r="F10" s="137" t="s">
        <v>453</v>
      </c>
      <c r="G10" s="137"/>
      <c r="H10" s="137"/>
    </row>
    <row r="11" spans="1:8" x14ac:dyDescent="0.3">
      <c r="A11" s="1" t="s">
        <v>438</v>
      </c>
      <c r="B11" s="1" t="s">
        <v>442</v>
      </c>
      <c r="C11" s="1" t="s">
        <v>450</v>
      </c>
      <c r="D11" s="1">
        <v>309</v>
      </c>
    </row>
    <row r="12" spans="1:8" x14ac:dyDescent="0.3">
      <c r="A12" s="1" t="s">
        <v>449</v>
      </c>
      <c r="B12" s="1" t="s">
        <v>444</v>
      </c>
      <c r="C12" s="1" t="s">
        <v>440</v>
      </c>
      <c r="D12" s="1">
        <v>108</v>
      </c>
      <c r="F12" s="68" t="s">
        <v>447</v>
      </c>
      <c r="G12" s="68" t="s">
        <v>448</v>
      </c>
      <c r="H12" s="68" t="s">
        <v>429</v>
      </c>
    </row>
    <row r="13" spans="1:8" x14ac:dyDescent="0.3">
      <c r="A13" s="1" t="s">
        <v>441</v>
      </c>
      <c r="B13" s="1" t="s">
        <v>442</v>
      </c>
      <c r="C13" s="1" t="s">
        <v>450</v>
      </c>
      <c r="D13" s="1">
        <v>357</v>
      </c>
      <c r="F13" s="89" t="s">
        <v>454</v>
      </c>
      <c r="G13" s="1"/>
      <c r="H13" s="1"/>
    </row>
    <row r="14" spans="1:8" x14ac:dyDescent="0.3">
      <c r="A14" s="1" t="s">
        <v>449</v>
      </c>
      <c r="B14" s="1" t="s">
        <v>439</v>
      </c>
      <c r="C14" s="1" t="s">
        <v>450</v>
      </c>
      <c r="D14" s="1">
        <v>369</v>
      </c>
      <c r="F14" s="89" t="s">
        <v>455</v>
      </c>
      <c r="G14" s="1"/>
      <c r="H14" s="1"/>
    </row>
    <row r="15" spans="1:8" x14ac:dyDescent="0.3">
      <c r="A15" s="1" t="s">
        <v>441</v>
      </c>
      <c r="B15" s="1" t="s">
        <v>442</v>
      </c>
      <c r="C15" s="1" t="s">
        <v>452</v>
      </c>
      <c r="D15" s="1">
        <v>288</v>
      </c>
      <c r="F15" s="89" t="s">
        <v>456</v>
      </c>
      <c r="G15" s="1"/>
      <c r="H15" s="1"/>
    </row>
    <row r="16" spans="1:8" x14ac:dyDescent="0.3">
      <c r="A16" s="1" t="s">
        <v>438</v>
      </c>
      <c r="B16" s="1" t="s">
        <v>439</v>
      </c>
      <c r="C16" s="1" t="s">
        <v>452</v>
      </c>
      <c r="D16" s="1">
        <v>494</v>
      </c>
      <c r="F16" s="89" t="s">
        <v>457</v>
      </c>
      <c r="G16" s="1"/>
      <c r="H16" s="1"/>
    </row>
    <row r="17" spans="1:8" x14ac:dyDescent="0.3">
      <c r="A17" s="1" t="s">
        <v>446</v>
      </c>
      <c r="B17" s="1" t="s">
        <v>439</v>
      </c>
      <c r="C17" s="1" t="s">
        <v>450</v>
      </c>
      <c r="D17" s="1">
        <v>236</v>
      </c>
      <c r="F17" s="89" t="s">
        <v>458</v>
      </c>
      <c r="G17" s="1"/>
      <c r="H17" s="1"/>
    </row>
    <row r="18" spans="1:8" x14ac:dyDescent="0.3">
      <c r="A18" s="1" t="s">
        <v>441</v>
      </c>
      <c r="B18" s="1" t="s">
        <v>442</v>
      </c>
      <c r="C18" s="1" t="s">
        <v>440</v>
      </c>
      <c r="D18" s="1">
        <v>262</v>
      </c>
      <c r="F18" s="89" t="s">
        <v>459</v>
      </c>
      <c r="G18" s="1"/>
      <c r="H18" s="1"/>
    </row>
    <row r="19" spans="1:8" x14ac:dyDescent="0.3">
      <c r="A19" s="1" t="s">
        <v>460</v>
      </c>
      <c r="B19" s="1" t="s">
        <v>439</v>
      </c>
      <c r="C19" s="1" t="s">
        <v>445</v>
      </c>
      <c r="D19" s="1">
        <v>874</v>
      </c>
      <c r="F19" s="89" t="s">
        <v>461</v>
      </c>
      <c r="G19" s="1"/>
      <c r="H19" s="1"/>
    </row>
    <row r="20" spans="1:8" x14ac:dyDescent="0.3">
      <c r="A20" s="1" t="s">
        <v>446</v>
      </c>
      <c r="B20" s="1" t="s">
        <v>444</v>
      </c>
      <c r="C20" s="1" t="s">
        <v>445</v>
      </c>
      <c r="D20" s="1">
        <v>619</v>
      </c>
    </row>
    <row r="21" spans="1:8" x14ac:dyDescent="0.3">
      <c r="A21" s="1" t="s">
        <v>449</v>
      </c>
      <c r="B21" s="1" t="s">
        <v>444</v>
      </c>
      <c r="C21" s="1" t="s">
        <v>445</v>
      </c>
      <c r="D21" s="1">
        <v>457</v>
      </c>
    </row>
    <row r="22" spans="1:8" x14ac:dyDescent="0.3">
      <c r="A22" s="1" t="s">
        <v>441</v>
      </c>
      <c r="B22" s="1" t="s">
        <v>444</v>
      </c>
      <c r="C22" s="1" t="s">
        <v>440</v>
      </c>
      <c r="D22" s="1">
        <v>565</v>
      </c>
    </row>
    <row r="23" spans="1:8" x14ac:dyDescent="0.3">
      <c r="A23" s="1" t="s">
        <v>451</v>
      </c>
      <c r="B23" s="1" t="s">
        <v>444</v>
      </c>
      <c r="C23" s="1" t="s">
        <v>445</v>
      </c>
      <c r="D23" s="1">
        <v>832</v>
      </c>
    </row>
    <row r="24" spans="1:8" x14ac:dyDescent="0.3">
      <c r="A24" s="1" t="s">
        <v>438</v>
      </c>
      <c r="B24" s="1" t="s">
        <v>439</v>
      </c>
      <c r="C24" s="1" t="s">
        <v>450</v>
      </c>
      <c r="D24" s="1">
        <v>889</v>
      </c>
    </row>
    <row r="25" spans="1:8" x14ac:dyDescent="0.3">
      <c r="A25" s="1" t="s">
        <v>438</v>
      </c>
      <c r="B25" s="1" t="s">
        <v>439</v>
      </c>
      <c r="C25" s="1" t="s">
        <v>452</v>
      </c>
      <c r="D25" s="1">
        <v>690</v>
      </c>
    </row>
    <row r="26" spans="1:8" x14ac:dyDescent="0.3">
      <c r="A26" s="1" t="s">
        <v>441</v>
      </c>
      <c r="B26" s="1" t="s">
        <v>439</v>
      </c>
      <c r="C26" s="1" t="s">
        <v>445</v>
      </c>
      <c r="D26" s="1">
        <v>800</v>
      </c>
    </row>
    <row r="27" spans="1:8" x14ac:dyDescent="0.3">
      <c r="A27" s="1" t="s">
        <v>460</v>
      </c>
      <c r="B27" s="1" t="s">
        <v>439</v>
      </c>
      <c r="C27" s="1" t="s">
        <v>445</v>
      </c>
      <c r="D27" s="1">
        <v>280</v>
      </c>
    </row>
    <row r="28" spans="1:8" x14ac:dyDescent="0.3">
      <c r="A28" s="1" t="s">
        <v>460</v>
      </c>
      <c r="B28" s="1" t="s">
        <v>444</v>
      </c>
      <c r="C28" s="1" t="s">
        <v>445</v>
      </c>
      <c r="D28" s="1">
        <v>438</v>
      </c>
    </row>
    <row r="29" spans="1:8" x14ac:dyDescent="0.3">
      <c r="A29" s="1" t="s">
        <v>449</v>
      </c>
      <c r="B29" s="1" t="s">
        <v>442</v>
      </c>
      <c r="C29" s="1" t="s">
        <v>450</v>
      </c>
      <c r="D29" s="1">
        <v>370</v>
      </c>
    </row>
    <row r="30" spans="1:8" x14ac:dyDescent="0.3">
      <c r="A30" s="1" t="s">
        <v>449</v>
      </c>
      <c r="B30" s="1" t="s">
        <v>442</v>
      </c>
      <c r="C30" s="1" t="s">
        <v>445</v>
      </c>
      <c r="D30" s="1">
        <v>779</v>
      </c>
    </row>
    <row r="31" spans="1:8" x14ac:dyDescent="0.3">
      <c r="A31" s="1" t="s">
        <v>438</v>
      </c>
      <c r="B31" s="1" t="s">
        <v>444</v>
      </c>
      <c r="C31" s="1" t="s">
        <v>445</v>
      </c>
      <c r="D31" s="1">
        <v>537</v>
      </c>
    </row>
    <row r="32" spans="1:8" x14ac:dyDescent="0.3">
      <c r="A32" s="1" t="s">
        <v>446</v>
      </c>
      <c r="B32" s="1" t="s">
        <v>439</v>
      </c>
      <c r="C32" s="1" t="s">
        <v>450</v>
      </c>
      <c r="D32" s="1">
        <v>425</v>
      </c>
    </row>
    <row r="33" spans="1:4" x14ac:dyDescent="0.3">
      <c r="A33" s="1" t="s">
        <v>449</v>
      </c>
      <c r="B33" s="1" t="s">
        <v>444</v>
      </c>
      <c r="C33" s="1" t="s">
        <v>445</v>
      </c>
      <c r="D33" s="1">
        <v>619</v>
      </c>
    </row>
    <row r="34" spans="1:4" x14ac:dyDescent="0.3">
      <c r="A34" s="1" t="s">
        <v>449</v>
      </c>
      <c r="B34" s="1" t="s">
        <v>439</v>
      </c>
      <c r="C34" s="1" t="s">
        <v>450</v>
      </c>
      <c r="D34" s="1">
        <v>786</v>
      </c>
    </row>
    <row r="35" spans="1:4" x14ac:dyDescent="0.3">
      <c r="A35" s="1" t="s">
        <v>449</v>
      </c>
      <c r="B35" s="1" t="s">
        <v>442</v>
      </c>
      <c r="C35" s="1" t="s">
        <v>440</v>
      </c>
      <c r="D35" s="1">
        <v>795</v>
      </c>
    </row>
    <row r="36" spans="1:4" x14ac:dyDescent="0.3">
      <c r="A36" s="1" t="s">
        <v>441</v>
      </c>
      <c r="B36" s="1" t="s">
        <v>442</v>
      </c>
      <c r="C36" s="1" t="s">
        <v>450</v>
      </c>
      <c r="D36" s="1">
        <v>258</v>
      </c>
    </row>
    <row r="37" spans="1:4" x14ac:dyDescent="0.3">
      <c r="A37" s="1" t="s">
        <v>449</v>
      </c>
      <c r="B37" s="1" t="s">
        <v>442</v>
      </c>
      <c r="C37" s="1" t="s">
        <v>452</v>
      </c>
      <c r="D37" s="1">
        <v>770</v>
      </c>
    </row>
    <row r="38" spans="1:4" x14ac:dyDescent="0.3">
      <c r="A38" s="1" t="s">
        <v>446</v>
      </c>
      <c r="B38" s="1" t="s">
        <v>442</v>
      </c>
      <c r="C38" s="1" t="s">
        <v>440</v>
      </c>
      <c r="D38" s="1">
        <v>438</v>
      </c>
    </row>
    <row r="39" spans="1:4" x14ac:dyDescent="0.3">
      <c r="A39" s="1" t="s">
        <v>449</v>
      </c>
      <c r="B39" s="1" t="s">
        <v>439</v>
      </c>
      <c r="C39" s="1" t="s">
        <v>445</v>
      </c>
      <c r="D39" s="1">
        <v>330</v>
      </c>
    </row>
    <row r="40" spans="1:4" x14ac:dyDescent="0.3">
      <c r="A40" s="1" t="s">
        <v>441</v>
      </c>
      <c r="B40" s="1" t="s">
        <v>442</v>
      </c>
      <c r="C40" s="1" t="s">
        <v>452</v>
      </c>
      <c r="D40" s="1">
        <v>164</v>
      </c>
    </row>
    <row r="41" spans="1:4" x14ac:dyDescent="0.3">
      <c r="A41" s="1" t="s">
        <v>449</v>
      </c>
      <c r="B41" s="1" t="s">
        <v>444</v>
      </c>
      <c r="C41" s="1" t="s">
        <v>440</v>
      </c>
      <c r="D41" s="1">
        <v>487</v>
      </c>
    </row>
    <row r="42" spans="1:4" x14ac:dyDescent="0.3">
      <c r="A42" s="1" t="s">
        <v>446</v>
      </c>
      <c r="B42" s="1" t="s">
        <v>444</v>
      </c>
      <c r="C42" s="1" t="s">
        <v>452</v>
      </c>
      <c r="D42" s="1">
        <v>893</v>
      </c>
    </row>
    <row r="43" spans="1:4" x14ac:dyDescent="0.3">
      <c r="A43" s="1" t="s">
        <v>441</v>
      </c>
      <c r="B43" s="1" t="s">
        <v>442</v>
      </c>
      <c r="C43" s="1" t="s">
        <v>450</v>
      </c>
      <c r="D43" s="1">
        <v>866</v>
      </c>
    </row>
    <row r="44" spans="1:4" x14ac:dyDescent="0.3">
      <c r="A44" s="1" t="s">
        <v>438</v>
      </c>
      <c r="B44" s="1" t="s">
        <v>439</v>
      </c>
      <c r="C44" s="1" t="s">
        <v>440</v>
      </c>
      <c r="D44" s="1">
        <v>673</v>
      </c>
    </row>
    <row r="45" spans="1:4" x14ac:dyDescent="0.3">
      <c r="A45" s="1" t="s">
        <v>449</v>
      </c>
      <c r="B45" s="1" t="s">
        <v>444</v>
      </c>
      <c r="C45" s="1" t="s">
        <v>450</v>
      </c>
      <c r="D45" s="1">
        <v>180</v>
      </c>
    </row>
    <row r="46" spans="1:4" x14ac:dyDescent="0.3">
      <c r="A46" s="1" t="s">
        <v>451</v>
      </c>
      <c r="B46" s="1" t="s">
        <v>444</v>
      </c>
      <c r="C46" s="1" t="s">
        <v>445</v>
      </c>
      <c r="D46" s="1">
        <v>219</v>
      </c>
    </row>
    <row r="47" spans="1:4" x14ac:dyDescent="0.3">
      <c r="A47" s="1" t="s">
        <v>451</v>
      </c>
      <c r="B47" s="1" t="s">
        <v>444</v>
      </c>
      <c r="C47" s="1" t="s">
        <v>452</v>
      </c>
      <c r="D47" s="1">
        <v>786</v>
      </c>
    </row>
    <row r="48" spans="1:4" x14ac:dyDescent="0.3">
      <c r="A48" s="1" t="s">
        <v>438</v>
      </c>
      <c r="B48" s="1" t="s">
        <v>444</v>
      </c>
      <c r="C48" s="1" t="s">
        <v>452</v>
      </c>
      <c r="D48" s="1">
        <v>136</v>
      </c>
    </row>
    <row r="49" spans="1:4" x14ac:dyDescent="0.3">
      <c r="A49" s="1" t="s">
        <v>451</v>
      </c>
      <c r="B49" s="1" t="s">
        <v>442</v>
      </c>
      <c r="C49" s="1" t="s">
        <v>440</v>
      </c>
      <c r="D49" s="1">
        <v>687</v>
      </c>
    </row>
    <row r="50" spans="1:4" x14ac:dyDescent="0.3">
      <c r="A50" s="1" t="s">
        <v>460</v>
      </c>
      <c r="B50" s="1" t="s">
        <v>442</v>
      </c>
      <c r="C50" s="1" t="s">
        <v>440</v>
      </c>
      <c r="D50" s="1">
        <v>595</v>
      </c>
    </row>
    <row r="51" spans="1:4" x14ac:dyDescent="0.3">
      <c r="A51" s="1" t="s">
        <v>449</v>
      </c>
      <c r="B51" s="1" t="s">
        <v>442</v>
      </c>
      <c r="C51" s="1" t="s">
        <v>445</v>
      </c>
      <c r="D51" s="1">
        <v>566</v>
      </c>
    </row>
    <row r="52" spans="1:4" x14ac:dyDescent="0.3">
      <c r="A52" s="1" t="s">
        <v>441</v>
      </c>
      <c r="B52" s="1" t="s">
        <v>439</v>
      </c>
      <c r="C52" s="1" t="s">
        <v>445</v>
      </c>
      <c r="D52" s="1">
        <v>119</v>
      </c>
    </row>
    <row r="53" spans="1:4" x14ac:dyDescent="0.3">
      <c r="A53" s="1" t="s">
        <v>441</v>
      </c>
      <c r="B53" s="1" t="s">
        <v>439</v>
      </c>
      <c r="C53" s="1" t="s">
        <v>452</v>
      </c>
      <c r="D53" s="1">
        <v>136</v>
      </c>
    </row>
    <row r="54" spans="1:4" x14ac:dyDescent="0.3">
      <c r="A54" s="1" t="s">
        <v>438</v>
      </c>
      <c r="B54" s="1" t="s">
        <v>442</v>
      </c>
      <c r="C54" s="1" t="s">
        <v>452</v>
      </c>
      <c r="D54" s="1">
        <v>642</v>
      </c>
    </row>
    <row r="55" spans="1:4" x14ac:dyDescent="0.3">
      <c r="A55" s="1" t="s">
        <v>446</v>
      </c>
      <c r="B55" s="1" t="s">
        <v>442</v>
      </c>
      <c r="C55" s="1" t="s">
        <v>452</v>
      </c>
      <c r="D55" s="1">
        <v>451</v>
      </c>
    </row>
    <row r="56" spans="1:4" x14ac:dyDescent="0.3">
      <c r="A56" s="1" t="s">
        <v>451</v>
      </c>
      <c r="B56" s="1" t="s">
        <v>444</v>
      </c>
      <c r="C56" s="1" t="s">
        <v>452</v>
      </c>
      <c r="D56" s="1">
        <v>766</v>
      </c>
    </row>
    <row r="57" spans="1:4" x14ac:dyDescent="0.3">
      <c r="A57" s="1" t="s">
        <v>441</v>
      </c>
      <c r="B57" s="1" t="s">
        <v>444</v>
      </c>
      <c r="C57" s="1" t="s">
        <v>445</v>
      </c>
      <c r="D57" s="1">
        <v>743</v>
      </c>
    </row>
    <row r="58" spans="1:4" x14ac:dyDescent="0.3">
      <c r="A58" s="1" t="s">
        <v>460</v>
      </c>
      <c r="B58" s="1" t="s">
        <v>444</v>
      </c>
      <c r="C58" s="1" t="s">
        <v>450</v>
      </c>
      <c r="D58" s="1">
        <v>374</v>
      </c>
    </row>
    <row r="59" spans="1:4" x14ac:dyDescent="0.3">
      <c r="A59" s="1" t="s">
        <v>451</v>
      </c>
      <c r="B59" s="1" t="s">
        <v>439</v>
      </c>
      <c r="C59" s="1" t="s">
        <v>440</v>
      </c>
      <c r="D59" s="1">
        <v>891</v>
      </c>
    </row>
    <row r="60" spans="1:4" x14ac:dyDescent="0.3">
      <c r="A60" s="1" t="s">
        <v>451</v>
      </c>
      <c r="B60" s="1" t="s">
        <v>442</v>
      </c>
      <c r="C60" s="1" t="s">
        <v>450</v>
      </c>
      <c r="D60" s="1">
        <v>825</v>
      </c>
    </row>
    <row r="61" spans="1:4" x14ac:dyDescent="0.3">
      <c r="A61" s="1" t="s">
        <v>451</v>
      </c>
      <c r="B61" s="1" t="s">
        <v>444</v>
      </c>
      <c r="C61" s="1" t="s">
        <v>440</v>
      </c>
      <c r="D61" s="1">
        <v>319</v>
      </c>
    </row>
    <row r="62" spans="1:4" x14ac:dyDescent="0.3">
      <c r="A62" s="1" t="s">
        <v>441</v>
      </c>
      <c r="B62" s="1" t="s">
        <v>439</v>
      </c>
      <c r="C62" s="1" t="s">
        <v>440</v>
      </c>
      <c r="D62" s="1">
        <v>769</v>
      </c>
    </row>
    <row r="63" spans="1:4" x14ac:dyDescent="0.3">
      <c r="A63" s="1" t="s">
        <v>460</v>
      </c>
      <c r="B63" s="1" t="s">
        <v>444</v>
      </c>
      <c r="C63" s="1" t="s">
        <v>450</v>
      </c>
      <c r="D63" s="1">
        <v>874</v>
      </c>
    </row>
    <row r="64" spans="1:4" x14ac:dyDescent="0.3">
      <c r="A64" s="1" t="s">
        <v>460</v>
      </c>
      <c r="B64" s="1" t="s">
        <v>442</v>
      </c>
      <c r="C64" s="1" t="s">
        <v>445</v>
      </c>
      <c r="D64" s="1">
        <v>507</v>
      </c>
    </row>
    <row r="65" spans="1:4" x14ac:dyDescent="0.3">
      <c r="A65" s="1" t="s">
        <v>460</v>
      </c>
      <c r="B65" s="1" t="s">
        <v>442</v>
      </c>
      <c r="C65" s="1" t="s">
        <v>452</v>
      </c>
      <c r="D65" s="1">
        <v>165</v>
      </c>
    </row>
    <row r="66" spans="1:4" x14ac:dyDescent="0.3">
      <c r="A66" s="1" t="s">
        <v>451</v>
      </c>
      <c r="B66" s="1" t="s">
        <v>444</v>
      </c>
      <c r="C66" s="1" t="s">
        <v>445</v>
      </c>
      <c r="D66" s="1">
        <v>533</v>
      </c>
    </row>
    <row r="67" spans="1:4" x14ac:dyDescent="0.3">
      <c r="A67" s="1" t="s">
        <v>449</v>
      </c>
      <c r="B67" s="1" t="s">
        <v>444</v>
      </c>
      <c r="C67" s="1" t="s">
        <v>452</v>
      </c>
      <c r="D67" s="1">
        <v>472</v>
      </c>
    </row>
    <row r="68" spans="1:4" x14ac:dyDescent="0.3">
      <c r="A68" s="1" t="s">
        <v>446</v>
      </c>
      <c r="B68" s="1" t="s">
        <v>444</v>
      </c>
      <c r="C68" s="1" t="s">
        <v>440</v>
      </c>
      <c r="D68" s="1">
        <v>275</v>
      </c>
    </row>
    <row r="69" spans="1:4" x14ac:dyDescent="0.3">
      <c r="A69" s="1" t="s">
        <v>446</v>
      </c>
      <c r="B69" s="1" t="s">
        <v>444</v>
      </c>
      <c r="C69" s="1" t="s">
        <v>440</v>
      </c>
      <c r="D69" s="1">
        <v>112</v>
      </c>
    </row>
    <row r="70" spans="1:4" x14ac:dyDescent="0.3">
      <c r="A70" s="1" t="s">
        <v>438</v>
      </c>
      <c r="B70" s="1" t="s">
        <v>444</v>
      </c>
      <c r="C70" s="1" t="s">
        <v>440</v>
      </c>
      <c r="D70" s="1">
        <v>574</v>
      </c>
    </row>
    <row r="71" spans="1:4" x14ac:dyDescent="0.3">
      <c r="A71" s="1" t="s">
        <v>451</v>
      </c>
      <c r="B71" s="1" t="s">
        <v>444</v>
      </c>
      <c r="C71" s="1" t="s">
        <v>445</v>
      </c>
      <c r="D71" s="1">
        <v>476</v>
      </c>
    </row>
    <row r="72" spans="1:4" x14ac:dyDescent="0.3">
      <c r="A72" s="1" t="s">
        <v>449</v>
      </c>
      <c r="B72" s="1" t="s">
        <v>439</v>
      </c>
      <c r="C72" s="1" t="s">
        <v>445</v>
      </c>
      <c r="D72" s="1">
        <v>571</v>
      </c>
    </row>
    <row r="73" spans="1:4" x14ac:dyDescent="0.3">
      <c r="A73" s="1" t="s">
        <v>449</v>
      </c>
      <c r="B73" s="1" t="s">
        <v>439</v>
      </c>
      <c r="C73" s="1" t="s">
        <v>445</v>
      </c>
      <c r="D73" s="1">
        <v>190</v>
      </c>
    </row>
    <row r="74" spans="1:4" x14ac:dyDescent="0.3">
      <c r="A74" s="1" t="s">
        <v>460</v>
      </c>
      <c r="B74" s="1" t="s">
        <v>442</v>
      </c>
      <c r="C74" s="1" t="s">
        <v>450</v>
      </c>
      <c r="D74" s="1">
        <v>882</v>
      </c>
    </row>
    <row r="75" spans="1:4" x14ac:dyDescent="0.3">
      <c r="A75" s="1" t="s">
        <v>441</v>
      </c>
      <c r="B75" s="1" t="s">
        <v>442</v>
      </c>
      <c r="C75" s="1" t="s">
        <v>445</v>
      </c>
      <c r="D75" s="1">
        <v>255</v>
      </c>
    </row>
    <row r="76" spans="1:4" x14ac:dyDescent="0.3">
      <c r="A76" s="1" t="s">
        <v>441</v>
      </c>
      <c r="B76" s="1" t="s">
        <v>439</v>
      </c>
      <c r="C76" s="1" t="s">
        <v>445</v>
      </c>
      <c r="D76" s="1">
        <v>386</v>
      </c>
    </row>
    <row r="77" spans="1:4" x14ac:dyDescent="0.3">
      <c r="A77" s="1" t="s">
        <v>460</v>
      </c>
      <c r="B77" s="1" t="s">
        <v>439</v>
      </c>
      <c r="C77" s="1" t="s">
        <v>452</v>
      </c>
      <c r="D77" s="1">
        <v>816</v>
      </c>
    </row>
    <row r="78" spans="1:4" x14ac:dyDescent="0.3">
      <c r="A78" s="1" t="s">
        <v>451</v>
      </c>
      <c r="B78" s="1" t="s">
        <v>439</v>
      </c>
      <c r="C78" s="1" t="s">
        <v>450</v>
      </c>
      <c r="D78" s="1">
        <v>243</v>
      </c>
    </row>
    <row r="79" spans="1:4" x14ac:dyDescent="0.3">
      <c r="A79" s="1" t="s">
        <v>460</v>
      </c>
      <c r="B79" s="1" t="s">
        <v>444</v>
      </c>
      <c r="C79" s="1" t="s">
        <v>450</v>
      </c>
      <c r="D79" s="1">
        <v>162</v>
      </c>
    </row>
    <row r="80" spans="1:4" x14ac:dyDescent="0.3">
      <c r="A80" s="1" t="s">
        <v>446</v>
      </c>
      <c r="B80" s="1" t="s">
        <v>444</v>
      </c>
      <c r="C80" s="1" t="s">
        <v>440</v>
      </c>
      <c r="D80" s="1">
        <v>528</v>
      </c>
    </row>
    <row r="81" spans="1:4" x14ac:dyDescent="0.3">
      <c r="A81" s="1" t="s">
        <v>446</v>
      </c>
      <c r="B81" s="1" t="s">
        <v>442</v>
      </c>
      <c r="C81" s="1" t="s">
        <v>450</v>
      </c>
      <c r="D81" s="1">
        <v>884</v>
      </c>
    </row>
    <row r="82" spans="1:4" x14ac:dyDescent="0.3">
      <c r="A82" s="1" t="s">
        <v>460</v>
      </c>
      <c r="B82" s="1" t="s">
        <v>444</v>
      </c>
      <c r="C82" s="1" t="s">
        <v>452</v>
      </c>
      <c r="D82" s="1">
        <v>516</v>
      </c>
    </row>
    <row r="83" spans="1:4" x14ac:dyDescent="0.3">
      <c r="A83" s="1" t="s">
        <v>441</v>
      </c>
      <c r="B83" s="1" t="s">
        <v>439</v>
      </c>
      <c r="C83" s="1" t="s">
        <v>440</v>
      </c>
      <c r="D83" s="1">
        <v>357</v>
      </c>
    </row>
    <row r="84" spans="1:4" x14ac:dyDescent="0.3">
      <c r="A84" s="1" t="s">
        <v>451</v>
      </c>
      <c r="B84" s="1" t="s">
        <v>444</v>
      </c>
      <c r="C84" s="1" t="s">
        <v>450</v>
      </c>
      <c r="D84" s="1">
        <v>382</v>
      </c>
    </row>
    <row r="85" spans="1:4" x14ac:dyDescent="0.3">
      <c r="A85" s="1" t="s">
        <v>451</v>
      </c>
      <c r="B85" s="1" t="s">
        <v>442</v>
      </c>
      <c r="C85" s="1" t="s">
        <v>440</v>
      </c>
      <c r="D85" s="1">
        <v>481</v>
      </c>
    </row>
    <row r="86" spans="1:4" x14ac:dyDescent="0.3">
      <c r="A86" s="1" t="s">
        <v>460</v>
      </c>
      <c r="B86" s="1" t="s">
        <v>439</v>
      </c>
      <c r="C86" s="1" t="s">
        <v>452</v>
      </c>
      <c r="D86" s="1">
        <v>235</v>
      </c>
    </row>
    <row r="87" spans="1:4" x14ac:dyDescent="0.3">
      <c r="A87" s="1" t="s">
        <v>451</v>
      </c>
      <c r="B87" s="1" t="s">
        <v>444</v>
      </c>
      <c r="C87" s="1" t="s">
        <v>440</v>
      </c>
      <c r="D87" s="1">
        <v>257</v>
      </c>
    </row>
    <row r="88" spans="1:4" x14ac:dyDescent="0.3">
      <c r="A88" s="1" t="s">
        <v>446</v>
      </c>
      <c r="B88" s="1" t="s">
        <v>444</v>
      </c>
      <c r="C88" s="1" t="s">
        <v>440</v>
      </c>
      <c r="D88" s="1">
        <v>206</v>
      </c>
    </row>
    <row r="89" spans="1:4" x14ac:dyDescent="0.3">
      <c r="A89" s="1" t="s">
        <v>449</v>
      </c>
      <c r="B89" s="1" t="s">
        <v>444</v>
      </c>
      <c r="C89" s="1" t="s">
        <v>445</v>
      </c>
      <c r="D89" s="1">
        <v>200</v>
      </c>
    </row>
    <row r="90" spans="1:4" x14ac:dyDescent="0.3">
      <c r="A90" s="1" t="s">
        <v>449</v>
      </c>
      <c r="B90" s="1" t="s">
        <v>442</v>
      </c>
      <c r="C90" s="1" t="s">
        <v>450</v>
      </c>
      <c r="D90" s="1">
        <v>610</v>
      </c>
    </row>
    <row r="91" spans="1:4" x14ac:dyDescent="0.3">
      <c r="A91" s="1" t="s">
        <v>438</v>
      </c>
      <c r="B91" s="1" t="s">
        <v>444</v>
      </c>
      <c r="C91" s="1" t="s">
        <v>450</v>
      </c>
      <c r="D91" s="1">
        <v>711</v>
      </c>
    </row>
    <row r="92" spans="1:4" x14ac:dyDescent="0.3">
      <c r="A92" s="1" t="s">
        <v>460</v>
      </c>
      <c r="B92" s="1" t="s">
        <v>439</v>
      </c>
      <c r="C92" s="1" t="s">
        <v>445</v>
      </c>
      <c r="D92" s="1">
        <v>324</v>
      </c>
    </row>
    <row r="93" spans="1:4" x14ac:dyDescent="0.3">
      <c r="A93" s="1" t="s">
        <v>446</v>
      </c>
      <c r="B93" s="1" t="s">
        <v>442</v>
      </c>
      <c r="C93" s="1" t="s">
        <v>440</v>
      </c>
      <c r="D93" s="1">
        <v>791</v>
      </c>
    </row>
    <row r="94" spans="1:4" x14ac:dyDescent="0.3">
      <c r="A94" s="1" t="s">
        <v>441</v>
      </c>
      <c r="B94" s="1" t="s">
        <v>444</v>
      </c>
      <c r="C94" s="1" t="s">
        <v>450</v>
      </c>
      <c r="D94" s="1">
        <v>501</v>
      </c>
    </row>
    <row r="95" spans="1:4" x14ac:dyDescent="0.3">
      <c r="A95" s="1" t="s">
        <v>449</v>
      </c>
      <c r="B95" s="1" t="s">
        <v>439</v>
      </c>
      <c r="C95" s="1" t="s">
        <v>440</v>
      </c>
      <c r="D95" s="1">
        <v>537</v>
      </c>
    </row>
    <row r="96" spans="1:4" x14ac:dyDescent="0.3">
      <c r="A96" s="1" t="s">
        <v>438</v>
      </c>
      <c r="B96" s="1" t="s">
        <v>442</v>
      </c>
      <c r="C96" s="1" t="s">
        <v>452</v>
      </c>
      <c r="D96" s="1">
        <v>640</v>
      </c>
    </row>
    <row r="97" spans="1:4" x14ac:dyDescent="0.3">
      <c r="A97" s="1" t="s">
        <v>451</v>
      </c>
      <c r="B97" s="1" t="s">
        <v>442</v>
      </c>
      <c r="C97" s="1" t="s">
        <v>445</v>
      </c>
      <c r="D97" s="1">
        <v>530</v>
      </c>
    </row>
    <row r="98" spans="1:4" x14ac:dyDescent="0.3">
      <c r="A98" s="1" t="s">
        <v>438</v>
      </c>
      <c r="B98" s="1" t="s">
        <v>444</v>
      </c>
      <c r="C98" s="1" t="s">
        <v>440</v>
      </c>
      <c r="D98" s="1">
        <v>678</v>
      </c>
    </row>
    <row r="99" spans="1:4" x14ac:dyDescent="0.3">
      <c r="A99" s="1" t="s">
        <v>441</v>
      </c>
      <c r="B99" s="1" t="s">
        <v>442</v>
      </c>
      <c r="C99" s="1" t="s">
        <v>450</v>
      </c>
      <c r="D99" s="1">
        <v>132</v>
      </c>
    </row>
    <row r="100" spans="1:4" x14ac:dyDescent="0.3">
      <c r="A100" s="1" t="s">
        <v>451</v>
      </c>
      <c r="B100" s="1" t="s">
        <v>442</v>
      </c>
      <c r="C100" s="1" t="s">
        <v>452</v>
      </c>
      <c r="D100" s="1">
        <v>652</v>
      </c>
    </row>
  </sheetData>
  <mergeCells count="2">
    <mergeCell ref="F3:H3"/>
    <mergeCell ref="F10:H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044F-B850-4BD6-BF7A-977A6A7301BB}">
  <dimension ref="D2:G15"/>
  <sheetViews>
    <sheetView showGridLines="0" topLeftCell="B2" zoomScale="163" workbookViewId="0">
      <selection activeCell="E14" sqref="E14"/>
    </sheetView>
  </sheetViews>
  <sheetFormatPr defaultRowHeight="14.4" x14ac:dyDescent="0.3"/>
  <cols>
    <col min="1" max="1" width="8.88671875" customWidth="1"/>
    <col min="2" max="2" width="7.88671875" customWidth="1"/>
    <col min="3" max="3" width="15.109375" bestFit="1" customWidth="1"/>
    <col min="4" max="4" width="9.109375" customWidth="1"/>
    <col min="5" max="5" width="15.109375" bestFit="1" customWidth="1"/>
    <col min="6" max="6" width="12.77734375" customWidth="1"/>
    <col min="7" max="7" width="10.77734375" customWidth="1"/>
  </cols>
  <sheetData>
    <row r="2" spans="4:7" ht="15" thickBot="1" x14ac:dyDescent="0.35"/>
    <row r="3" spans="4:7" ht="15" thickTop="1" x14ac:dyDescent="0.3">
      <c r="D3" s="81"/>
      <c r="E3" s="82"/>
      <c r="F3" s="82"/>
      <c r="G3" s="83"/>
    </row>
    <row r="4" spans="4:7" x14ac:dyDescent="0.3">
      <c r="D4" s="84"/>
      <c r="F4" s="1" t="s">
        <v>432</v>
      </c>
      <c r="G4" s="85"/>
    </row>
    <row r="5" spans="4:7" x14ac:dyDescent="0.3">
      <c r="D5" s="84"/>
      <c r="F5" s="1" t="s">
        <v>433</v>
      </c>
      <c r="G5" s="85"/>
    </row>
    <row r="6" spans="4:7" x14ac:dyDescent="0.3">
      <c r="D6" s="84"/>
      <c r="F6" s="1" t="s">
        <v>434</v>
      </c>
      <c r="G6" s="85"/>
    </row>
    <row r="7" spans="4:7" x14ac:dyDescent="0.3">
      <c r="D7" s="84"/>
      <c r="F7" s="1" t="s">
        <v>435</v>
      </c>
      <c r="G7" s="85"/>
    </row>
    <row r="8" spans="4:7" x14ac:dyDescent="0.3">
      <c r="D8" s="84"/>
      <c r="F8" s="1" t="s">
        <v>436</v>
      </c>
      <c r="G8" s="85"/>
    </row>
    <row r="9" spans="4:7" x14ac:dyDescent="0.3">
      <c r="D9" s="84"/>
      <c r="F9" s="1" t="s">
        <v>437</v>
      </c>
      <c r="G9" s="85"/>
    </row>
    <row r="10" spans="4:7" x14ac:dyDescent="0.3">
      <c r="D10" s="84"/>
      <c r="F10" s="80">
        <v>890</v>
      </c>
      <c r="G10" s="85"/>
    </row>
    <row r="11" spans="4:7" x14ac:dyDescent="0.3">
      <c r="D11" s="84"/>
      <c r="E11" s="79" t="s">
        <v>430</v>
      </c>
      <c r="F11" s="1"/>
      <c r="G11" s="85"/>
    </row>
    <row r="12" spans="4:7" x14ac:dyDescent="0.3">
      <c r="D12" s="84"/>
      <c r="E12" s="79" t="s">
        <v>431</v>
      </c>
      <c r="F12" s="1">
        <v>38352</v>
      </c>
      <c r="G12" s="85"/>
    </row>
    <row r="13" spans="4:7" x14ac:dyDescent="0.3">
      <c r="D13" s="84"/>
      <c r="G13" s="85"/>
    </row>
    <row r="14" spans="4:7" ht="15" thickBot="1" x14ac:dyDescent="0.35">
      <c r="D14" s="86"/>
      <c r="E14" s="87"/>
      <c r="F14" s="87"/>
      <c r="G14" s="88"/>
    </row>
    <row r="15" spans="4:7" ht="15" thickTop="1" x14ac:dyDescent="0.3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7B563-0350-4267-9E98-C5AE8C8B2025}">
  <dimension ref="A1:L51"/>
  <sheetViews>
    <sheetView showGridLines="0" workbookViewId="0">
      <selection activeCell="H4" sqref="H4"/>
    </sheetView>
  </sheetViews>
  <sheetFormatPr defaultRowHeight="14.4" x14ac:dyDescent="0.3"/>
  <cols>
    <col min="1" max="1" width="20.77734375" bestFit="1" customWidth="1"/>
    <col min="2" max="2" width="13.109375" bestFit="1" customWidth="1"/>
    <col min="3" max="3" width="14.44140625" bestFit="1" customWidth="1"/>
    <col min="7" max="7" width="16.77734375" bestFit="1" customWidth="1"/>
    <col min="8" max="8" width="13.109375" bestFit="1" customWidth="1"/>
    <col min="9" max="9" width="15.5546875" bestFit="1" customWidth="1"/>
    <col min="10" max="10" width="13.77734375" bestFit="1" customWidth="1"/>
    <col min="11" max="11" width="15.5546875" bestFit="1" customWidth="1"/>
    <col min="12" max="12" width="13.21875" bestFit="1" customWidth="1"/>
  </cols>
  <sheetData>
    <row r="1" spans="1:12" x14ac:dyDescent="0.3">
      <c r="A1" s="78" t="s">
        <v>415</v>
      </c>
      <c r="B1" s="78" t="s">
        <v>405</v>
      </c>
      <c r="C1" s="78" t="s">
        <v>422</v>
      </c>
    </row>
    <row r="2" spans="1:12" x14ac:dyDescent="0.3">
      <c r="A2" s="65" t="s">
        <v>411</v>
      </c>
      <c r="B2" s="65" t="s">
        <v>406</v>
      </c>
      <c r="C2" s="71">
        <v>80</v>
      </c>
    </row>
    <row r="3" spans="1:12" x14ac:dyDescent="0.3">
      <c r="A3" s="65" t="s">
        <v>411</v>
      </c>
      <c r="B3" s="65" t="s">
        <v>407</v>
      </c>
      <c r="C3" s="71">
        <v>12</v>
      </c>
      <c r="G3" s="78" t="s">
        <v>423</v>
      </c>
      <c r="H3" s="78" t="s">
        <v>424</v>
      </c>
      <c r="I3" s="78" t="s">
        <v>425</v>
      </c>
      <c r="J3" s="78" t="s">
        <v>426</v>
      </c>
      <c r="K3" s="78" t="s">
        <v>427</v>
      </c>
      <c r="L3" s="78" t="s">
        <v>428</v>
      </c>
    </row>
    <row r="4" spans="1:12" x14ac:dyDescent="0.3">
      <c r="A4" s="65" t="s">
        <v>411</v>
      </c>
      <c r="B4" s="65" t="s">
        <v>408</v>
      </c>
      <c r="C4" s="71">
        <v>80</v>
      </c>
      <c r="G4" s="65" t="s">
        <v>411</v>
      </c>
      <c r="H4" s="1"/>
      <c r="I4" s="1"/>
      <c r="J4" s="1"/>
      <c r="K4" s="1"/>
      <c r="L4" s="1"/>
    </row>
    <row r="5" spans="1:12" x14ac:dyDescent="0.3">
      <c r="A5" s="65" t="s">
        <v>411</v>
      </c>
      <c r="B5" s="65" t="s">
        <v>409</v>
      </c>
      <c r="C5" s="71">
        <v>30</v>
      </c>
      <c r="G5" s="13" t="s">
        <v>412</v>
      </c>
      <c r="H5" s="1"/>
      <c r="I5" s="1"/>
      <c r="J5" s="1"/>
      <c r="K5" s="1"/>
      <c r="L5" s="1"/>
    </row>
    <row r="6" spans="1:12" x14ac:dyDescent="0.3">
      <c r="A6" s="65" t="s">
        <v>411</v>
      </c>
      <c r="B6" s="65" t="s">
        <v>410</v>
      </c>
      <c r="C6" s="71">
        <v>58</v>
      </c>
      <c r="G6" s="66" t="s">
        <v>413</v>
      </c>
      <c r="H6" s="1"/>
      <c r="I6" s="1"/>
      <c r="J6" s="1"/>
      <c r="K6" s="1"/>
      <c r="L6" s="1"/>
    </row>
    <row r="7" spans="1:12" x14ac:dyDescent="0.3">
      <c r="A7" s="13" t="s">
        <v>412</v>
      </c>
      <c r="B7" s="13" t="s">
        <v>406</v>
      </c>
      <c r="C7" s="72">
        <v>66</v>
      </c>
      <c r="G7" s="8" t="s">
        <v>414</v>
      </c>
      <c r="H7" s="1"/>
      <c r="I7" s="1"/>
      <c r="J7" s="1"/>
      <c r="K7" s="1"/>
      <c r="L7" s="1"/>
    </row>
    <row r="8" spans="1:12" x14ac:dyDescent="0.3">
      <c r="A8" s="13" t="s">
        <v>412</v>
      </c>
      <c r="B8" s="13" t="s">
        <v>407</v>
      </c>
      <c r="C8" s="72">
        <v>80</v>
      </c>
      <c r="G8" s="67" t="s">
        <v>416</v>
      </c>
      <c r="H8" s="1"/>
      <c r="I8" s="1"/>
      <c r="J8" s="1"/>
      <c r="K8" s="1"/>
      <c r="L8" s="1"/>
    </row>
    <row r="9" spans="1:12" x14ac:dyDescent="0.3">
      <c r="A9" s="13" t="s">
        <v>412</v>
      </c>
      <c r="B9" s="13" t="s">
        <v>408</v>
      </c>
      <c r="C9" s="72">
        <v>77</v>
      </c>
      <c r="G9" s="30" t="s">
        <v>417</v>
      </c>
      <c r="H9" s="1"/>
      <c r="I9" s="1"/>
      <c r="J9" s="1"/>
      <c r="K9" s="1"/>
      <c r="L9" s="1"/>
    </row>
    <row r="10" spans="1:12" x14ac:dyDescent="0.3">
      <c r="A10" s="13" t="s">
        <v>412</v>
      </c>
      <c r="B10" s="13" t="s">
        <v>409</v>
      </c>
      <c r="C10" s="72">
        <v>88</v>
      </c>
      <c r="G10" s="68" t="s">
        <v>418</v>
      </c>
      <c r="H10" s="1"/>
      <c r="I10" s="1"/>
      <c r="J10" s="1"/>
      <c r="K10" s="1"/>
      <c r="L10" s="1"/>
    </row>
    <row r="11" spans="1:12" x14ac:dyDescent="0.3">
      <c r="A11" s="13" t="s">
        <v>412</v>
      </c>
      <c r="B11" s="13" t="s">
        <v>410</v>
      </c>
      <c r="C11" s="72">
        <v>29</v>
      </c>
      <c r="G11" s="69" t="s">
        <v>419</v>
      </c>
      <c r="H11" s="1"/>
      <c r="I11" s="1"/>
      <c r="J11" s="1"/>
      <c r="K11" s="1"/>
      <c r="L11" s="1"/>
    </row>
    <row r="12" spans="1:12" x14ac:dyDescent="0.3">
      <c r="A12" s="66" t="s">
        <v>413</v>
      </c>
      <c r="B12" s="66" t="s">
        <v>406</v>
      </c>
      <c r="C12" s="73">
        <v>20</v>
      </c>
      <c r="G12" s="70" t="s">
        <v>420</v>
      </c>
      <c r="H12" s="1"/>
      <c r="I12" s="1"/>
      <c r="J12" s="1"/>
      <c r="K12" s="1"/>
      <c r="L12" s="1"/>
    </row>
    <row r="13" spans="1:12" x14ac:dyDescent="0.3">
      <c r="A13" s="66" t="s">
        <v>413</v>
      </c>
      <c r="B13" s="66" t="s">
        <v>407</v>
      </c>
      <c r="C13" s="73">
        <v>53</v>
      </c>
      <c r="G13" s="66" t="s">
        <v>421</v>
      </c>
      <c r="H13" s="1"/>
      <c r="I13" s="1"/>
      <c r="J13" s="1"/>
      <c r="K13" s="1"/>
      <c r="L13" s="1"/>
    </row>
    <row r="14" spans="1:12" x14ac:dyDescent="0.3">
      <c r="A14" s="66" t="s">
        <v>413</v>
      </c>
      <c r="B14" s="66" t="s">
        <v>408</v>
      </c>
      <c r="C14" s="73">
        <v>48</v>
      </c>
    </row>
    <row r="15" spans="1:12" x14ac:dyDescent="0.3">
      <c r="A15" s="66" t="s">
        <v>413</v>
      </c>
      <c r="B15" s="66" t="s">
        <v>409</v>
      </c>
      <c r="C15" s="73">
        <v>52</v>
      </c>
    </row>
    <row r="16" spans="1:12" x14ac:dyDescent="0.3">
      <c r="A16" s="66" t="s">
        <v>413</v>
      </c>
      <c r="B16" s="66" t="s">
        <v>410</v>
      </c>
      <c r="C16" s="73">
        <v>29</v>
      </c>
    </row>
    <row r="17" spans="1:3" x14ac:dyDescent="0.3">
      <c r="A17" s="8" t="s">
        <v>414</v>
      </c>
      <c r="B17" s="8" t="s">
        <v>406</v>
      </c>
      <c r="C17" s="7">
        <v>85</v>
      </c>
    </row>
    <row r="18" spans="1:3" x14ac:dyDescent="0.3">
      <c r="A18" s="8" t="s">
        <v>414</v>
      </c>
      <c r="B18" s="8" t="s">
        <v>407</v>
      </c>
      <c r="C18" s="7">
        <v>70</v>
      </c>
    </row>
    <row r="19" spans="1:3" x14ac:dyDescent="0.3">
      <c r="A19" s="8" t="s">
        <v>414</v>
      </c>
      <c r="B19" s="8" t="s">
        <v>408</v>
      </c>
      <c r="C19" s="7">
        <v>61</v>
      </c>
    </row>
    <row r="20" spans="1:3" x14ac:dyDescent="0.3">
      <c r="A20" s="8" t="s">
        <v>414</v>
      </c>
      <c r="B20" s="8" t="s">
        <v>409</v>
      </c>
      <c r="C20" s="7">
        <v>86</v>
      </c>
    </row>
    <row r="21" spans="1:3" x14ac:dyDescent="0.3">
      <c r="A21" s="8" t="s">
        <v>414</v>
      </c>
      <c r="B21" s="8" t="s">
        <v>410</v>
      </c>
      <c r="C21" s="7">
        <v>100</v>
      </c>
    </row>
    <row r="22" spans="1:3" x14ac:dyDescent="0.3">
      <c r="A22" s="67" t="s">
        <v>416</v>
      </c>
      <c r="B22" s="67" t="s">
        <v>406</v>
      </c>
      <c r="C22" s="74">
        <v>57</v>
      </c>
    </row>
    <row r="23" spans="1:3" x14ac:dyDescent="0.3">
      <c r="A23" s="67" t="s">
        <v>416</v>
      </c>
      <c r="B23" s="67" t="s">
        <v>407</v>
      </c>
      <c r="C23" s="74">
        <v>98</v>
      </c>
    </row>
    <row r="24" spans="1:3" x14ac:dyDescent="0.3">
      <c r="A24" s="67" t="s">
        <v>416</v>
      </c>
      <c r="B24" s="67" t="s">
        <v>408</v>
      </c>
      <c r="C24" s="74">
        <v>43</v>
      </c>
    </row>
    <row r="25" spans="1:3" x14ac:dyDescent="0.3">
      <c r="A25" s="67" t="s">
        <v>416</v>
      </c>
      <c r="B25" s="67" t="s">
        <v>409</v>
      </c>
      <c r="C25" s="74">
        <v>82</v>
      </c>
    </row>
    <row r="26" spans="1:3" x14ac:dyDescent="0.3">
      <c r="A26" s="67" t="s">
        <v>416</v>
      </c>
      <c r="B26" s="67" t="s">
        <v>410</v>
      </c>
      <c r="C26" s="74">
        <v>37</v>
      </c>
    </row>
    <row r="27" spans="1:3" x14ac:dyDescent="0.3">
      <c r="A27" s="30" t="s">
        <v>417</v>
      </c>
      <c r="B27" s="30" t="s">
        <v>406</v>
      </c>
      <c r="C27" s="75">
        <v>80</v>
      </c>
    </row>
    <row r="28" spans="1:3" x14ac:dyDescent="0.3">
      <c r="A28" s="30" t="s">
        <v>417</v>
      </c>
      <c r="B28" s="30" t="s">
        <v>407</v>
      </c>
      <c r="C28" s="75">
        <v>58</v>
      </c>
    </row>
    <row r="29" spans="1:3" x14ac:dyDescent="0.3">
      <c r="A29" s="30" t="s">
        <v>417</v>
      </c>
      <c r="B29" s="30" t="s">
        <v>408</v>
      </c>
      <c r="C29" s="75">
        <v>28</v>
      </c>
    </row>
    <row r="30" spans="1:3" x14ac:dyDescent="0.3">
      <c r="A30" s="30" t="s">
        <v>417</v>
      </c>
      <c r="B30" s="30" t="s">
        <v>409</v>
      </c>
      <c r="C30" s="75">
        <v>82</v>
      </c>
    </row>
    <row r="31" spans="1:3" x14ac:dyDescent="0.3">
      <c r="A31" s="30" t="s">
        <v>417</v>
      </c>
      <c r="B31" s="30" t="s">
        <v>410</v>
      </c>
      <c r="C31" s="75">
        <v>99</v>
      </c>
    </row>
    <row r="32" spans="1:3" x14ac:dyDescent="0.3">
      <c r="A32" s="68" t="s">
        <v>418</v>
      </c>
      <c r="B32" s="68" t="s">
        <v>406</v>
      </c>
      <c r="C32" s="76">
        <v>40</v>
      </c>
    </row>
    <row r="33" spans="1:3" x14ac:dyDescent="0.3">
      <c r="A33" s="68" t="s">
        <v>418</v>
      </c>
      <c r="B33" s="68" t="s">
        <v>407</v>
      </c>
      <c r="C33" s="76">
        <v>90</v>
      </c>
    </row>
    <row r="34" spans="1:3" x14ac:dyDescent="0.3">
      <c r="A34" s="68" t="s">
        <v>418</v>
      </c>
      <c r="B34" s="68" t="s">
        <v>408</v>
      </c>
      <c r="C34" s="76">
        <v>10</v>
      </c>
    </row>
    <row r="35" spans="1:3" x14ac:dyDescent="0.3">
      <c r="A35" s="68" t="s">
        <v>418</v>
      </c>
      <c r="B35" s="68" t="s">
        <v>409</v>
      </c>
      <c r="C35" s="76">
        <v>31</v>
      </c>
    </row>
    <row r="36" spans="1:3" x14ac:dyDescent="0.3">
      <c r="A36" s="68" t="s">
        <v>418</v>
      </c>
      <c r="B36" s="68" t="s">
        <v>410</v>
      </c>
      <c r="C36" s="76">
        <v>100</v>
      </c>
    </row>
    <row r="37" spans="1:3" x14ac:dyDescent="0.3">
      <c r="A37" s="69" t="s">
        <v>419</v>
      </c>
      <c r="B37" s="69" t="s">
        <v>406</v>
      </c>
      <c r="C37" s="77">
        <v>32</v>
      </c>
    </row>
    <row r="38" spans="1:3" x14ac:dyDescent="0.3">
      <c r="A38" s="69" t="s">
        <v>419</v>
      </c>
      <c r="B38" s="69" t="s">
        <v>407</v>
      </c>
      <c r="C38" s="77">
        <v>74</v>
      </c>
    </row>
    <row r="39" spans="1:3" x14ac:dyDescent="0.3">
      <c r="A39" s="69" t="s">
        <v>419</v>
      </c>
      <c r="B39" s="69" t="s">
        <v>408</v>
      </c>
      <c r="C39" s="77">
        <v>72</v>
      </c>
    </row>
    <row r="40" spans="1:3" x14ac:dyDescent="0.3">
      <c r="A40" s="69" t="s">
        <v>419</v>
      </c>
      <c r="B40" s="69" t="s">
        <v>409</v>
      </c>
      <c r="C40" s="77">
        <v>58</v>
      </c>
    </row>
    <row r="41" spans="1:3" x14ac:dyDescent="0.3">
      <c r="A41" s="69" t="s">
        <v>419</v>
      </c>
      <c r="B41" s="69" t="s">
        <v>410</v>
      </c>
      <c r="C41" s="77">
        <v>70</v>
      </c>
    </row>
    <row r="42" spans="1:3" x14ac:dyDescent="0.3">
      <c r="A42" s="70" t="s">
        <v>420</v>
      </c>
      <c r="B42" s="70" t="s">
        <v>406</v>
      </c>
      <c r="C42" s="18">
        <v>55</v>
      </c>
    </row>
    <row r="43" spans="1:3" x14ac:dyDescent="0.3">
      <c r="A43" s="70" t="s">
        <v>420</v>
      </c>
      <c r="B43" s="70" t="s">
        <v>407</v>
      </c>
      <c r="C43" s="18">
        <v>55</v>
      </c>
    </row>
    <row r="44" spans="1:3" x14ac:dyDescent="0.3">
      <c r="A44" s="70" t="s">
        <v>420</v>
      </c>
      <c r="B44" s="70" t="s">
        <v>408</v>
      </c>
      <c r="C44" s="18">
        <v>69</v>
      </c>
    </row>
    <row r="45" spans="1:3" x14ac:dyDescent="0.3">
      <c r="A45" s="70" t="s">
        <v>420</v>
      </c>
      <c r="B45" s="70" t="s">
        <v>409</v>
      </c>
      <c r="C45" s="18">
        <v>19</v>
      </c>
    </row>
    <row r="46" spans="1:3" x14ac:dyDescent="0.3">
      <c r="A46" s="70" t="s">
        <v>420</v>
      </c>
      <c r="B46" s="70" t="s">
        <v>410</v>
      </c>
      <c r="C46" s="18">
        <v>77</v>
      </c>
    </row>
    <row r="47" spans="1:3" x14ac:dyDescent="0.3">
      <c r="A47" s="66" t="s">
        <v>421</v>
      </c>
      <c r="B47" s="66" t="s">
        <v>406</v>
      </c>
      <c r="C47" s="73">
        <v>80</v>
      </c>
    </row>
    <row r="48" spans="1:3" x14ac:dyDescent="0.3">
      <c r="A48" s="66" t="s">
        <v>421</v>
      </c>
      <c r="B48" s="66" t="s">
        <v>407</v>
      </c>
      <c r="C48" s="73">
        <v>37</v>
      </c>
    </row>
    <row r="49" spans="1:3" x14ac:dyDescent="0.3">
      <c r="A49" s="66" t="s">
        <v>421</v>
      </c>
      <c r="B49" s="66" t="s">
        <v>408</v>
      </c>
      <c r="C49" s="73">
        <v>43</v>
      </c>
    </row>
    <row r="50" spans="1:3" x14ac:dyDescent="0.3">
      <c r="A50" s="66" t="s">
        <v>421</v>
      </c>
      <c r="B50" s="66" t="s">
        <v>409</v>
      </c>
      <c r="C50" s="73">
        <v>63</v>
      </c>
    </row>
    <row r="51" spans="1:3" x14ac:dyDescent="0.3">
      <c r="A51" s="66" t="s">
        <v>421</v>
      </c>
      <c r="B51" s="66" t="s">
        <v>410</v>
      </c>
      <c r="C51" s="73">
        <v>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3670A-8C5B-47C2-931A-3959836C3684}">
  <sheetPr codeName="Sheet2"/>
  <dimension ref="B1:H20"/>
  <sheetViews>
    <sheetView showGridLines="0" zoomScale="135" workbookViewId="0">
      <selection activeCell="D12" sqref="D12"/>
    </sheetView>
  </sheetViews>
  <sheetFormatPr defaultRowHeight="14.4" x14ac:dyDescent="0.3"/>
  <cols>
    <col min="2" max="2" width="18.21875" customWidth="1"/>
    <col min="3" max="3" width="19.77734375" customWidth="1"/>
    <col min="4" max="4" width="19.6640625" customWidth="1"/>
    <col min="5" max="5" width="14.88671875" customWidth="1"/>
    <col min="6" max="6" width="18.44140625" bestFit="1" customWidth="1"/>
    <col min="7" max="7" width="20.5546875" customWidth="1"/>
    <col min="8" max="8" width="11.44140625" customWidth="1"/>
    <col min="9" max="9" width="13.21875" customWidth="1"/>
  </cols>
  <sheetData>
    <row r="1" spans="2:8" x14ac:dyDescent="0.3">
      <c r="B1" s="26" t="s">
        <v>298</v>
      </c>
      <c r="C1" s="26" t="s">
        <v>299</v>
      </c>
      <c r="D1" s="26" t="s">
        <v>297</v>
      </c>
      <c r="F1" s="29" t="s">
        <v>297</v>
      </c>
      <c r="G1" s="29" t="s">
        <v>107</v>
      </c>
      <c r="H1" s="29" t="s">
        <v>327</v>
      </c>
    </row>
    <row r="2" spans="2:8" x14ac:dyDescent="0.3">
      <c r="B2" s="28" t="s">
        <v>307</v>
      </c>
      <c r="C2" s="28" t="s">
        <v>314</v>
      </c>
      <c r="D2" s="8" t="s">
        <v>300</v>
      </c>
      <c r="F2" s="30" t="s">
        <v>300</v>
      </c>
      <c r="G2" s="31" t="s">
        <v>320</v>
      </c>
      <c r="H2" s="31">
        <v>89000</v>
      </c>
    </row>
    <row r="3" spans="2:8" x14ac:dyDescent="0.3">
      <c r="B3" s="28" t="s">
        <v>308</v>
      </c>
      <c r="C3" s="28" t="s">
        <v>315</v>
      </c>
      <c r="D3" s="8" t="s">
        <v>301</v>
      </c>
      <c r="F3" s="30" t="s">
        <v>301</v>
      </c>
      <c r="G3" s="31" t="s">
        <v>321</v>
      </c>
      <c r="H3" s="31">
        <v>45000</v>
      </c>
    </row>
    <row r="4" spans="2:8" x14ac:dyDescent="0.3">
      <c r="B4" s="28" t="s">
        <v>309</v>
      </c>
      <c r="C4" s="28" t="s">
        <v>316</v>
      </c>
      <c r="D4" s="8" t="s">
        <v>302</v>
      </c>
      <c r="F4" s="30" t="s">
        <v>302</v>
      </c>
      <c r="G4" s="31" t="s">
        <v>322</v>
      </c>
      <c r="H4" s="31">
        <v>55000</v>
      </c>
    </row>
    <row r="5" spans="2:8" x14ac:dyDescent="0.3">
      <c r="B5" s="28" t="s">
        <v>310</v>
      </c>
      <c r="C5" s="28" t="s">
        <v>317</v>
      </c>
      <c r="D5" s="8" t="s">
        <v>303</v>
      </c>
      <c r="F5" s="30" t="s">
        <v>303</v>
      </c>
      <c r="G5" s="31" t="s">
        <v>323</v>
      </c>
      <c r="H5" s="31">
        <v>60000</v>
      </c>
    </row>
    <row r="6" spans="2:8" x14ac:dyDescent="0.3">
      <c r="B6" s="28" t="s">
        <v>313</v>
      </c>
      <c r="C6" s="28" t="s">
        <v>318</v>
      </c>
      <c r="D6" s="8" t="s">
        <v>304</v>
      </c>
      <c r="F6" s="30" t="s">
        <v>304</v>
      </c>
      <c r="G6" s="31" t="s">
        <v>324</v>
      </c>
      <c r="H6" s="31">
        <v>40000</v>
      </c>
    </row>
    <row r="7" spans="2:8" x14ac:dyDescent="0.3">
      <c r="B7" s="28" t="s">
        <v>311</v>
      </c>
      <c r="C7" s="28" t="s">
        <v>197</v>
      </c>
      <c r="D7" s="8" t="s">
        <v>305</v>
      </c>
      <c r="F7" s="30" t="s">
        <v>305</v>
      </c>
      <c r="G7" s="31" t="s">
        <v>325</v>
      </c>
      <c r="H7" s="31">
        <v>65000</v>
      </c>
    </row>
    <row r="8" spans="2:8" x14ac:dyDescent="0.3">
      <c r="B8" s="28" t="s">
        <v>312</v>
      </c>
      <c r="C8" s="28" t="s">
        <v>319</v>
      </c>
      <c r="D8" s="8" t="s">
        <v>306</v>
      </c>
      <c r="F8" s="30" t="s">
        <v>306</v>
      </c>
      <c r="G8" s="31" t="s">
        <v>326</v>
      </c>
      <c r="H8" s="31">
        <v>32000</v>
      </c>
    </row>
    <row r="10" spans="2:8" x14ac:dyDescent="0.3">
      <c r="D10" s="34" t="s">
        <v>330</v>
      </c>
    </row>
    <row r="11" spans="2:8" x14ac:dyDescent="0.3">
      <c r="C11" s="33" t="s">
        <v>107</v>
      </c>
      <c r="D11" s="33" t="s">
        <v>298</v>
      </c>
      <c r="E11" s="33" t="s">
        <v>327</v>
      </c>
      <c r="F11" s="33" t="s">
        <v>299</v>
      </c>
    </row>
    <row r="12" spans="2:8" x14ac:dyDescent="0.3">
      <c r="C12" s="10" t="s">
        <v>320</v>
      </c>
      <c r="D12" s="32" t="str">
        <f t="array" ref="D12">VLOOKUP(VLOOKUP($C12,CHOOSE({1,2},$G$1:$G$8,$F$1:$F$8),2,0),CHOOSE({1,2,3,4},$F$1:$F$8,$B$1:$B$8,$H$1:$H$8,$C$1:$C$8),MATCH(D$11,CHOOSE({1,2,3,4},$F$1,$B$1,$H$1,$C$1),0),0)</f>
        <v>DELHI</v>
      </c>
      <c r="E12" s="32">
        <f t="array" ref="E12">VLOOKUP(VLOOKUP($C12,CHOOSE({1,2},$G$1:$G$8,$F$1:$F$8),2,0),CHOOSE({1,2,3,4},$F$1:$F$8,$B$1:$B$8,$H$1:$H$8,$C$1:$C$8),MATCH(E$11,CHOOSE({1,2,3,4},$F$1,$B$1,$H$1,$C$1),0),0)</f>
        <v>89000</v>
      </c>
      <c r="F12" s="32" t="str">
        <f t="array" ref="F12">VLOOKUP(VLOOKUP($C12,CHOOSE({1,2},$G$1:$G$8,$F$1:$F$8),2,0),CHOOSE({1,2,3,4},$F$1:$F$8,$B$1:$B$8,$H$1:$H$8,$C$1:$C$8),MATCH(F$11,CHOOSE({1,2,3,4},$F$1,$B$1,$H$1,$C$1),0),0)</f>
        <v>FINANCE</v>
      </c>
    </row>
    <row r="13" spans="2:8" x14ac:dyDescent="0.3">
      <c r="C13" s="10" t="s">
        <v>321</v>
      </c>
      <c r="D13" s="32" t="str">
        <f t="array" ref="D13">VLOOKUP(VLOOKUP($C13,CHOOSE({1,2},$G$1:$G$8,$F$1:$F$8),2,0),CHOOSE({1,2,3,4},$F$1:$F$8,$B$1:$B$8,$H$1:$H$8,$C$1:$C$8),MATCH(D$11,CHOOSE({1,2,3,4},$F$1,$B$1,$H$1,$C$1),0),0)</f>
        <v>NOIDA</v>
      </c>
      <c r="E13" s="32">
        <f t="array" ref="E13">VLOOKUP(VLOOKUP($C13,CHOOSE({1,2},$G$1:$G$8,$F$1:$F$8),2,0),CHOOSE({1,2,3,4},$F$1:$F$8,$B$1:$B$8,$H$1:$H$8,$C$1:$C$8),MATCH(E$11,CHOOSE({1,2,3,4},$F$1,$B$1,$H$1,$C$1),0),0)</f>
        <v>45000</v>
      </c>
      <c r="F13" s="32" t="str">
        <f t="array" ref="F13">VLOOKUP(VLOOKUP($C13,CHOOSE({1,2},$G$1:$G$8,$F$1:$F$8),2,0),CHOOSE({1,2,3,4},$F$1:$F$8,$B$1:$B$8,$H$1:$H$8,$C$1:$C$8),MATCH(F$11,CHOOSE({1,2,3,4},$F$1,$B$1,$H$1,$C$1),0),0)</f>
        <v>HR</v>
      </c>
    </row>
    <row r="14" spans="2:8" x14ac:dyDescent="0.3">
      <c r="C14" s="10" t="s">
        <v>322</v>
      </c>
      <c r="D14" s="32" t="str">
        <f t="array" ref="D14">VLOOKUP(VLOOKUP($C14,CHOOSE({1,2},$G$1:$G$8,$F$1:$F$8),2,0),CHOOSE({1,2,3,4},$F$1:$F$8,$B$1:$B$8,$H$1:$H$8,$C$1:$C$8),MATCH(D$11,CHOOSE({1,2,3,4},$F$1,$B$1,$H$1,$C$1),0),0)</f>
        <v>PUNE</v>
      </c>
      <c r="E14" s="32">
        <f t="array" ref="E14">VLOOKUP(VLOOKUP($C14,CHOOSE({1,2},$G$1:$G$8,$F$1:$F$8),2,0),CHOOSE({1,2,3,4},$F$1:$F$8,$B$1:$B$8,$H$1:$H$8,$C$1:$C$8),MATCH(E$11,CHOOSE({1,2,3,4},$F$1,$B$1,$H$1,$C$1),0),0)</f>
        <v>55000</v>
      </c>
      <c r="F14" s="32" t="str">
        <f t="array" ref="F14">VLOOKUP(VLOOKUP($C14,CHOOSE({1,2},$G$1:$G$8,$F$1:$F$8),2,0),CHOOSE({1,2,3,4},$F$1:$F$8,$B$1:$B$8,$H$1:$H$8,$C$1:$C$8),MATCH(F$11,CHOOSE({1,2,3,4},$F$1,$B$1,$H$1,$C$1),0),0)</f>
        <v>IT</v>
      </c>
    </row>
    <row r="15" spans="2:8" x14ac:dyDescent="0.3">
      <c r="C15" s="10" t="s">
        <v>323</v>
      </c>
      <c r="D15" s="32" t="str">
        <f t="array" ref="D15">VLOOKUP(VLOOKUP($C15,CHOOSE({1,2},$G$1:$G$8,$F$1:$F$8),2,0),CHOOSE({1,2,3,4},$F$1:$F$8,$B$1:$B$8,$H$1:$H$8,$C$1:$C$8),MATCH(D$11,CHOOSE({1,2,3,4},$F$1,$B$1,$H$1,$C$1),0),0)</f>
        <v>CHENNAI</v>
      </c>
      <c r="E15" s="32">
        <f t="array" ref="E15">VLOOKUP(VLOOKUP($C15,CHOOSE({1,2},$G$1:$G$8,$F$1:$F$8),2,0),CHOOSE({1,2,3,4},$F$1:$F$8,$B$1:$B$8,$H$1:$H$8,$C$1:$C$8),MATCH(E$11,CHOOSE({1,2,3,4},$F$1,$B$1,$H$1,$C$1),0),0)</f>
        <v>60000</v>
      </c>
      <c r="F15" s="32" t="str">
        <f t="array" ref="F15">VLOOKUP(VLOOKUP($C15,CHOOSE({1,2},$G$1:$G$8,$F$1:$F$8),2,0),CHOOSE({1,2,3,4},$F$1:$F$8,$B$1:$B$8,$H$1:$H$8,$C$1:$C$8),MATCH(F$11,CHOOSE({1,2,3,4},$F$1,$B$1,$H$1,$C$1),0),0)</f>
        <v>ANALYTICS</v>
      </c>
    </row>
    <row r="16" spans="2:8" x14ac:dyDescent="0.3">
      <c r="C16" s="10" t="s">
        <v>324</v>
      </c>
      <c r="D16" s="32" t="str">
        <f t="array" ref="D16">VLOOKUP(VLOOKUP($C16,CHOOSE({1,2},$G$1:$G$8,$F$1:$F$8),2,0),CHOOSE({1,2,3,4},$F$1:$F$8,$B$1:$B$8,$H$1:$H$8,$C$1:$C$8),MATCH(D$11,CHOOSE({1,2,3,4},$F$1,$B$1,$H$1,$C$1),0),0)</f>
        <v>HARIDWAR</v>
      </c>
      <c r="E16" s="32">
        <f t="array" ref="E16">VLOOKUP(VLOOKUP($C16,CHOOSE({1,2},$G$1:$G$8,$F$1:$F$8),2,0),CHOOSE({1,2,3,4},$F$1:$F$8,$B$1:$B$8,$H$1:$H$8,$C$1:$C$8),MATCH(E$11,CHOOSE({1,2,3,4},$F$1,$B$1,$H$1,$C$1),0),0)</f>
        <v>40000</v>
      </c>
      <c r="F16" s="32" t="str">
        <f t="array" ref="F16">VLOOKUP(VLOOKUP($C16,CHOOSE({1,2},$G$1:$G$8,$F$1:$F$8),2,0),CHOOSE({1,2,3,4},$F$1:$F$8,$B$1:$B$8,$H$1:$H$8,$C$1:$C$8),MATCH(F$11,CHOOSE({1,2,3,4},$F$1,$B$1,$H$1,$C$1),0),0)</f>
        <v>MANAGEMENT</v>
      </c>
    </row>
    <row r="17" spans="3:6" x14ac:dyDescent="0.3">
      <c r="C17" s="10" t="s">
        <v>325</v>
      </c>
      <c r="D17" s="32" t="str">
        <f t="array" ref="D17">VLOOKUP(VLOOKUP($C17,CHOOSE({1,2},$G$1:$G$8,$F$1:$F$8),2,0),CHOOSE({1,2,3,4},$F$1:$F$8,$B$1:$B$8,$H$1:$H$8,$C$1:$C$8),MATCH(D$11,CHOOSE({1,2,3,4},$F$1,$B$1,$H$1,$C$1),0),0)</f>
        <v>JAIPUR</v>
      </c>
      <c r="E17" s="32">
        <f t="array" ref="E17">VLOOKUP(VLOOKUP($C17,CHOOSE({1,2},$G$1:$G$8,$F$1:$F$8),2,0),CHOOSE({1,2,3,4},$F$1:$F$8,$B$1:$B$8,$H$1:$H$8,$C$1:$C$8),MATCH(E$11,CHOOSE({1,2,3,4},$F$1,$B$1,$H$1,$C$1),0),0)</f>
        <v>65000</v>
      </c>
      <c r="F17" s="32" t="str">
        <f t="array" ref="F17">VLOOKUP(VLOOKUP($C17,CHOOSE({1,2},$G$1:$G$8,$F$1:$F$8),2,0),CHOOSE({1,2,3,4},$F$1:$F$8,$B$1:$B$8,$H$1:$H$8,$C$1:$C$8),MATCH(F$11,CHOOSE({1,2,3,4},$F$1,$B$1,$H$1,$C$1),0),0)</f>
        <v>SALES</v>
      </c>
    </row>
    <row r="18" spans="3:6" x14ac:dyDescent="0.3">
      <c r="C18" s="10" t="s">
        <v>326</v>
      </c>
      <c r="D18" s="32" t="str">
        <f t="array" ref="D18">VLOOKUP(VLOOKUP($C18,CHOOSE({1,2},$G$1:$G$8,$F$1:$F$8),2,0),CHOOSE({1,2,3,4},$F$1:$F$8,$B$1:$B$8,$H$1:$H$8,$C$1:$C$8),MATCH(D$11,CHOOSE({1,2,3,4},$F$1,$B$1,$H$1,$C$1),0),0)</f>
        <v>HAWDA</v>
      </c>
      <c r="E18" s="32">
        <f t="array" ref="E18">VLOOKUP(VLOOKUP($C18,CHOOSE({1,2},$G$1:$G$8,$F$1:$F$8),2,0),CHOOSE({1,2,3,4},$F$1:$F$8,$B$1:$B$8,$H$1:$H$8,$C$1:$C$8),MATCH(E$11,CHOOSE({1,2,3,4},$F$1,$B$1,$H$1,$C$1),0),0)</f>
        <v>32000</v>
      </c>
      <c r="F18" s="32" t="str">
        <f t="array" ref="F18">VLOOKUP(VLOOKUP($C18,CHOOSE({1,2},$G$1:$G$8,$F$1:$F$8),2,0),CHOOSE({1,2,3,4},$F$1:$F$8,$B$1:$B$8,$H$1:$H$8,$C$1:$C$8),MATCH(F$11,CHOOSE({1,2,3,4},$F$1,$B$1,$H$1,$C$1),0),0)</f>
        <v>PRODUCTION</v>
      </c>
    </row>
    <row r="20" spans="3:6" x14ac:dyDescent="0.3">
      <c r="F20" t="s">
        <v>296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F44CB-7EA2-438F-BF84-BEB685ADF335}">
  <dimension ref="A1:Q23"/>
  <sheetViews>
    <sheetView showGridLines="0" zoomScale="99" workbookViewId="0">
      <selection activeCell="Q14" sqref="Q14:Q23"/>
    </sheetView>
  </sheetViews>
  <sheetFormatPr defaultRowHeight="14.4" x14ac:dyDescent="0.3"/>
  <cols>
    <col min="1" max="1" width="12" bestFit="1" customWidth="1"/>
  </cols>
  <sheetData>
    <row r="1" spans="1:17" x14ac:dyDescent="0.3">
      <c r="A1" s="92" t="s">
        <v>465</v>
      </c>
      <c r="B1" s="93" t="s">
        <v>446</v>
      </c>
      <c r="C1" s="93" t="s">
        <v>441</v>
      </c>
      <c r="D1" s="93" t="s">
        <v>438</v>
      </c>
      <c r="E1" s="93" t="s">
        <v>449</v>
      </c>
      <c r="F1" s="93" t="s">
        <v>451</v>
      </c>
      <c r="G1" s="93" t="s">
        <v>460</v>
      </c>
      <c r="H1" s="93" t="s">
        <v>466</v>
      </c>
      <c r="I1" s="93" t="s">
        <v>467</v>
      </c>
      <c r="J1" s="93" t="s">
        <v>468</v>
      </c>
      <c r="K1" s="93" t="s">
        <v>469</v>
      </c>
      <c r="L1" s="93" t="s">
        <v>470</v>
      </c>
      <c r="M1" s="93" t="s">
        <v>471</v>
      </c>
      <c r="P1" s="92"/>
      <c r="Q1" s="93" t="s">
        <v>451</v>
      </c>
    </row>
    <row r="2" spans="1:17" x14ac:dyDescent="0.3">
      <c r="A2" s="96" t="s">
        <v>472</v>
      </c>
      <c r="B2" s="97">
        <v>902</v>
      </c>
      <c r="C2" s="97">
        <v>200</v>
      </c>
      <c r="D2" s="97">
        <v>534</v>
      </c>
      <c r="E2" s="97">
        <v>613</v>
      </c>
      <c r="F2" s="97">
        <v>591</v>
      </c>
      <c r="G2" s="97">
        <v>138</v>
      </c>
      <c r="H2" s="97">
        <v>818</v>
      </c>
      <c r="I2" s="97">
        <v>229</v>
      </c>
      <c r="J2" s="97">
        <v>520</v>
      </c>
      <c r="K2" s="97">
        <v>385</v>
      </c>
      <c r="L2" s="97">
        <v>505</v>
      </c>
      <c r="M2" s="97">
        <v>717</v>
      </c>
      <c r="P2" s="96" t="s">
        <v>482</v>
      </c>
      <c r="Q2" s="97">
        <f t="array" ref="Q2">VLOOKUP("Emp-00"&amp;RIGHT($P2,LEN($P2)-FIND("P",$P2,1)),$A$1:$M$11,MATCH($Q$1,$A$1:$M$1,0),0)</f>
        <v>591</v>
      </c>
    </row>
    <row r="3" spans="1:17" x14ac:dyDescent="0.3">
      <c r="A3" s="96" t="s">
        <v>473</v>
      </c>
      <c r="B3" s="97">
        <v>227</v>
      </c>
      <c r="C3" s="97">
        <v>778</v>
      </c>
      <c r="D3" s="97">
        <v>230</v>
      </c>
      <c r="E3" s="97">
        <v>316</v>
      </c>
      <c r="F3" s="97">
        <v>150</v>
      </c>
      <c r="G3" s="97">
        <v>634</v>
      </c>
      <c r="H3" s="97">
        <v>685</v>
      </c>
      <c r="I3" s="97">
        <v>821</v>
      </c>
      <c r="J3" s="97">
        <v>954</v>
      </c>
      <c r="K3" s="97">
        <v>934</v>
      </c>
      <c r="L3" s="97">
        <v>673</v>
      </c>
      <c r="M3" s="97">
        <v>619</v>
      </c>
      <c r="P3" s="96" t="s">
        <v>483</v>
      </c>
      <c r="Q3" s="97">
        <f t="array" ref="Q3">VLOOKUP("Emp-00"&amp;RIGHT($P3,LEN($P3)-FIND("P",$P3,1)),$A$1:$M$11,MATCH($Q$1,$A$1:$M$1,0),0)</f>
        <v>150</v>
      </c>
    </row>
    <row r="4" spans="1:17" x14ac:dyDescent="0.3">
      <c r="A4" s="96" t="s">
        <v>474</v>
      </c>
      <c r="B4" s="97">
        <v>597</v>
      </c>
      <c r="C4" s="97">
        <v>666</v>
      </c>
      <c r="D4" s="97">
        <v>769</v>
      </c>
      <c r="E4" s="97">
        <v>171</v>
      </c>
      <c r="F4" s="97">
        <v>768</v>
      </c>
      <c r="G4" s="97">
        <v>867</v>
      </c>
      <c r="H4" s="97">
        <v>973</v>
      </c>
      <c r="I4" s="97">
        <v>483</v>
      </c>
      <c r="J4" s="97">
        <v>431</v>
      </c>
      <c r="K4" s="97">
        <v>368</v>
      </c>
      <c r="L4" s="97">
        <v>177</v>
      </c>
      <c r="M4" s="97">
        <v>703</v>
      </c>
      <c r="P4" s="96" t="s">
        <v>484</v>
      </c>
      <c r="Q4" s="97">
        <f t="array" ref="Q4">VLOOKUP("Emp-00"&amp;RIGHT($P4,LEN($P4)-FIND("P",$P4,1)),$A$1:$M$11,MATCH($Q$1,$A$1:$M$1,0),0)</f>
        <v>768</v>
      </c>
    </row>
    <row r="5" spans="1:17" x14ac:dyDescent="0.3">
      <c r="A5" s="96" t="s">
        <v>475</v>
      </c>
      <c r="B5" s="97">
        <v>183</v>
      </c>
      <c r="C5" s="97">
        <v>420</v>
      </c>
      <c r="D5" s="97">
        <v>987</v>
      </c>
      <c r="E5" s="97">
        <v>476</v>
      </c>
      <c r="F5" s="97">
        <v>439</v>
      </c>
      <c r="G5" s="97">
        <v>915</v>
      </c>
      <c r="H5" s="97">
        <v>534</v>
      </c>
      <c r="I5" s="97">
        <v>355</v>
      </c>
      <c r="J5" s="97">
        <v>974</v>
      </c>
      <c r="K5" s="97">
        <v>623</v>
      </c>
      <c r="L5" s="97">
        <v>795</v>
      </c>
      <c r="M5" s="97">
        <v>724</v>
      </c>
      <c r="P5" s="96" t="s">
        <v>485</v>
      </c>
      <c r="Q5" s="97">
        <f t="array" ref="Q5">VLOOKUP("Emp-00"&amp;RIGHT($P5,LEN($P5)-FIND("P",$P5,1)),$A$1:$M$11,MATCH($Q$1,$A$1:$M$1,0),0)</f>
        <v>439</v>
      </c>
    </row>
    <row r="6" spans="1:17" x14ac:dyDescent="0.3">
      <c r="A6" s="96" t="s">
        <v>476</v>
      </c>
      <c r="B6" s="97">
        <v>157</v>
      </c>
      <c r="C6" s="97">
        <v>178</v>
      </c>
      <c r="D6" s="97">
        <v>893</v>
      </c>
      <c r="E6" s="97">
        <v>295</v>
      </c>
      <c r="F6" s="97">
        <v>604</v>
      </c>
      <c r="G6" s="97">
        <v>373</v>
      </c>
      <c r="H6" s="97">
        <v>838</v>
      </c>
      <c r="I6" s="97">
        <v>642</v>
      </c>
      <c r="J6" s="97">
        <v>693</v>
      </c>
      <c r="K6" s="97">
        <v>108</v>
      </c>
      <c r="L6" s="97">
        <v>407</v>
      </c>
      <c r="M6" s="97">
        <v>427</v>
      </c>
      <c r="P6" s="96" t="s">
        <v>486</v>
      </c>
      <c r="Q6" s="97">
        <f t="array" ref="Q6">VLOOKUP("Emp-00"&amp;RIGHT($P6,LEN($P6)-FIND("P",$P6,1)),$A$1:$M$11,MATCH($Q$1,$A$1:$M$1,0),0)</f>
        <v>604</v>
      </c>
    </row>
    <row r="7" spans="1:17" x14ac:dyDescent="0.3">
      <c r="A7" s="96" t="s">
        <v>477</v>
      </c>
      <c r="B7" s="97">
        <v>535</v>
      </c>
      <c r="C7" s="97">
        <v>941</v>
      </c>
      <c r="D7" s="97">
        <v>241</v>
      </c>
      <c r="E7" s="97">
        <v>691</v>
      </c>
      <c r="F7" s="97">
        <v>860</v>
      </c>
      <c r="G7" s="97">
        <v>702</v>
      </c>
      <c r="H7" s="97">
        <v>486</v>
      </c>
      <c r="I7" s="97">
        <v>867</v>
      </c>
      <c r="J7" s="97">
        <v>755</v>
      </c>
      <c r="K7" s="97">
        <v>920</v>
      </c>
      <c r="L7" s="97">
        <v>430</v>
      </c>
      <c r="M7" s="97">
        <v>698</v>
      </c>
      <c r="P7" s="96" t="s">
        <v>487</v>
      </c>
      <c r="Q7" s="97">
        <f t="array" ref="Q7">VLOOKUP("Emp-00"&amp;RIGHT($P7,LEN($P7)-FIND("P",$P7,1)),$A$1:$M$11,MATCH($Q$1,$A$1:$M$1,0),0)</f>
        <v>860</v>
      </c>
    </row>
    <row r="8" spans="1:17" x14ac:dyDescent="0.3">
      <c r="A8" s="96" t="s">
        <v>478</v>
      </c>
      <c r="B8" s="97">
        <v>717</v>
      </c>
      <c r="C8" s="97">
        <v>439</v>
      </c>
      <c r="D8" s="97">
        <v>269</v>
      </c>
      <c r="E8" s="97">
        <v>310</v>
      </c>
      <c r="F8" s="97">
        <v>882</v>
      </c>
      <c r="G8" s="97">
        <v>391</v>
      </c>
      <c r="H8" s="97">
        <v>518</v>
      </c>
      <c r="I8" s="97">
        <v>555</v>
      </c>
      <c r="J8" s="97">
        <v>579</v>
      </c>
      <c r="K8" s="97">
        <v>879</v>
      </c>
      <c r="L8" s="97">
        <v>711</v>
      </c>
      <c r="M8" s="97">
        <v>572</v>
      </c>
      <c r="P8" s="96" t="s">
        <v>488</v>
      </c>
      <c r="Q8" s="97">
        <f t="array" ref="Q8">VLOOKUP("Emp-00"&amp;RIGHT($P8,LEN($P8)-FIND("P",$P8,1)),$A$1:$M$11,MATCH($Q$1,$A$1:$M$1,0),0)</f>
        <v>882</v>
      </c>
    </row>
    <row r="9" spans="1:17" x14ac:dyDescent="0.3">
      <c r="A9" s="96" t="s">
        <v>479</v>
      </c>
      <c r="B9" s="97">
        <v>103</v>
      </c>
      <c r="C9" s="97">
        <v>432</v>
      </c>
      <c r="D9" s="97">
        <v>470</v>
      </c>
      <c r="E9" s="97">
        <v>820</v>
      </c>
      <c r="F9" s="97">
        <v>327</v>
      </c>
      <c r="G9" s="97">
        <v>931</v>
      </c>
      <c r="H9" s="97">
        <v>705</v>
      </c>
      <c r="I9" s="97">
        <v>622</v>
      </c>
      <c r="J9" s="97">
        <v>212</v>
      </c>
      <c r="K9" s="97">
        <v>166</v>
      </c>
      <c r="L9" s="97">
        <v>387</v>
      </c>
      <c r="M9" s="97">
        <v>383</v>
      </c>
      <c r="P9" s="96" t="s">
        <v>489</v>
      </c>
      <c r="Q9" s="97">
        <f t="array" ref="Q9">VLOOKUP("Emp-00"&amp;RIGHT($P9,LEN($P9)-FIND("P",$P9,1)),$A$1:$M$11,MATCH($Q$1,$A$1:$M$1,0),0)</f>
        <v>327</v>
      </c>
    </row>
    <row r="10" spans="1:17" x14ac:dyDescent="0.3">
      <c r="A10" s="96" t="s">
        <v>480</v>
      </c>
      <c r="B10" s="97">
        <v>249</v>
      </c>
      <c r="C10" s="97">
        <v>385</v>
      </c>
      <c r="D10" s="97">
        <v>676</v>
      </c>
      <c r="E10" s="97">
        <v>166</v>
      </c>
      <c r="F10" s="97">
        <v>272</v>
      </c>
      <c r="G10" s="97">
        <v>149</v>
      </c>
      <c r="H10" s="97">
        <v>555</v>
      </c>
      <c r="I10" s="97">
        <v>838</v>
      </c>
      <c r="J10" s="97">
        <v>668</v>
      </c>
      <c r="K10" s="97">
        <v>199</v>
      </c>
      <c r="L10" s="97">
        <v>412</v>
      </c>
      <c r="M10" s="97">
        <v>673</v>
      </c>
      <c r="P10" s="96" t="s">
        <v>490</v>
      </c>
      <c r="Q10" s="97">
        <f t="array" ref="Q10">VLOOKUP("Emp-00"&amp;RIGHT($P10,LEN($P10)-FIND("P",$P10,1)),$A$1:$M$11,MATCH($Q$1,$A$1:$M$1,0),0)</f>
        <v>272</v>
      </c>
    </row>
    <row r="11" spans="1:17" x14ac:dyDescent="0.3">
      <c r="A11" s="96" t="s">
        <v>481</v>
      </c>
      <c r="B11" s="97">
        <v>648</v>
      </c>
      <c r="C11" s="97">
        <v>725</v>
      </c>
      <c r="D11" s="97">
        <v>400</v>
      </c>
      <c r="E11" s="97">
        <v>435</v>
      </c>
      <c r="F11" s="97">
        <v>540</v>
      </c>
      <c r="G11" s="97">
        <v>808</v>
      </c>
      <c r="H11" s="97">
        <v>326</v>
      </c>
      <c r="I11" s="97">
        <v>602</v>
      </c>
      <c r="J11" s="97">
        <v>690</v>
      </c>
      <c r="K11" s="97">
        <v>912</v>
      </c>
      <c r="L11" s="97">
        <v>535</v>
      </c>
      <c r="M11" s="97">
        <v>489</v>
      </c>
      <c r="P11" s="96" t="s">
        <v>491</v>
      </c>
      <c r="Q11" s="97">
        <f t="array" ref="Q11">VLOOKUP("Emp-00"&amp;RIGHT($P11,LEN($P11)-FIND("P",$P11,1)),$A$1:$M$11,MATCH($Q$1,$A$1:$M$1,0),0)</f>
        <v>540</v>
      </c>
    </row>
    <row r="12" spans="1:17" x14ac:dyDescent="0.3"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</row>
    <row r="13" spans="1:17" x14ac:dyDescent="0.3">
      <c r="A13" s="94" t="s">
        <v>465</v>
      </c>
      <c r="B13" s="95" t="s">
        <v>446</v>
      </c>
      <c r="C13" s="95" t="s">
        <v>441</v>
      </c>
      <c r="D13" s="95" t="s">
        <v>438</v>
      </c>
      <c r="E13" s="95" t="s">
        <v>449</v>
      </c>
      <c r="F13" s="95" t="s">
        <v>451</v>
      </c>
      <c r="G13" s="95" t="s">
        <v>460</v>
      </c>
      <c r="H13" s="95" t="s">
        <v>466</v>
      </c>
      <c r="I13" s="95" t="s">
        <v>467</v>
      </c>
      <c r="J13" s="95" t="s">
        <v>468</v>
      </c>
      <c r="K13" s="95" t="s">
        <v>469</v>
      </c>
      <c r="L13" s="95" t="s">
        <v>470</v>
      </c>
      <c r="M13" s="95" t="s">
        <v>471</v>
      </c>
      <c r="P13" s="94"/>
      <c r="Q13" s="95" t="s">
        <v>460</v>
      </c>
    </row>
    <row r="14" spans="1:17" x14ac:dyDescent="0.3">
      <c r="A14" s="8" t="s">
        <v>492</v>
      </c>
      <c r="B14" s="98">
        <v>902</v>
      </c>
      <c r="C14" s="98">
        <v>200</v>
      </c>
      <c r="D14" s="98">
        <v>534</v>
      </c>
      <c r="E14" s="98">
        <v>613</v>
      </c>
      <c r="F14" s="98">
        <v>591</v>
      </c>
      <c r="G14" s="98">
        <v>138</v>
      </c>
      <c r="H14" s="98">
        <v>818</v>
      </c>
      <c r="I14" s="98">
        <v>229</v>
      </c>
      <c r="J14" s="98">
        <v>520</v>
      </c>
      <c r="K14" s="98">
        <v>385</v>
      </c>
      <c r="L14" s="98">
        <v>505</v>
      </c>
      <c r="M14" s="98">
        <v>717</v>
      </c>
      <c r="P14" s="8" t="s">
        <v>482</v>
      </c>
      <c r="Q14" s="98">
        <f t="array" ref="Q14">VLOOKUP(LEFT(P14,3)&amp;"-"&amp;RIGHT(P14)&amp;"00",$A$13:$M$23,MATCH($Q$13,$A$13:$M$13,0),0)</f>
        <v>138</v>
      </c>
    </row>
    <row r="15" spans="1:17" x14ac:dyDescent="0.3">
      <c r="A15" s="8" t="s">
        <v>493</v>
      </c>
      <c r="B15" s="98">
        <v>227</v>
      </c>
      <c r="C15" s="98">
        <v>778</v>
      </c>
      <c r="D15" s="98">
        <v>230</v>
      </c>
      <c r="E15" s="98">
        <v>316</v>
      </c>
      <c r="F15" s="98">
        <v>150</v>
      </c>
      <c r="G15" s="98">
        <v>634</v>
      </c>
      <c r="H15" s="98">
        <v>685</v>
      </c>
      <c r="I15" s="98">
        <v>821</v>
      </c>
      <c r="J15" s="98">
        <v>954</v>
      </c>
      <c r="K15" s="98">
        <v>934</v>
      </c>
      <c r="L15" s="98">
        <v>673</v>
      </c>
      <c r="M15" s="98">
        <v>619</v>
      </c>
      <c r="P15" s="8" t="s">
        <v>483</v>
      </c>
      <c r="Q15" s="98">
        <f t="array" ref="Q15">VLOOKUP(LEFT(P15,3)&amp;"-"&amp;RIGHT(P15)&amp;"00",$A$13:$M$23,MATCH($Q$13,$A$13:$M$13,0),0)</f>
        <v>634</v>
      </c>
    </row>
    <row r="16" spans="1:17" x14ac:dyDescent="0.3">
      <c r="A16" s="8" t="s">
        <v>494</v>
      </c>
      <c r="B16" s="98">
        <v>597</v>
      </c>
      <c r="C16" s="98">
        <v>666</v>
      </c>
      <c r="D16" s="98">
        <v>769</v>
      </c>
      <c r="E16" s="98">
        <v>171</v>
      </c>
      <c r="F16" s="98">
        <v>768</v>
      </c>
      <c r="G16" s="98">
        <v>867</v>
      </c>
      <c r="H16" s="98">
        <v>973</v>
      </c>
      <c r="I16" s="98">
        <v>483</v>
      </c>
      <c r="J16" s="98">
        <v>431</v>
      </c>
      <c r="K16" s="98">
        <v>368</v>
      </c>
      <c r="L16" s="98">
        <v>177</v>
      </c>
      <c r="M16" s="98">
        <v>703</v>
      </c>
      <c r="P16" s="8" t="s">
        <v>484</v>
      </c>
      <c r="Q16" s="98">
        <f t="array" ref="Q16">VLOOKUP(LEFT(P16,3)&amp;"-"&amp;RIGHT(P16)&amp;"00",$A$13:$M$23,MATCH($Q$13,$A$13:$M$13,0),0)</f>
        <v>867</v>
      </c>
    </row>
    <row r="17" spans="1:17" x14ac:dyDescent="0.3">
      <c r="A17" s="8" t="s">
        <v>495</v>
      </c>
      <c r="B17" s="98">
        <v>183</v>
      </c>
      <c r="C17" s="98">
        <v>420</v>
      </c>
      <c r="D17" s="98">
        <v>987</v>
      </c>
      <c r="E17" s="98">
        <v>476</v>
      </c>
      <c r="F17" s="98">
        <v>439</v>
      </c>
      <c r="G17" s="98">
        <v>915</v>
      </c>
      <c r="H17" s="98">
        <v>534</v>
      </c>
      <c r="I17" s="98">
        <v>355</v>
      </c>
      <c r="J17" s="98">
        <v>974</v>
      </c>
      <c r="K17" s="98">
        <v>623</v>
      </c>
      <c r="L17" s="98">
        <v>795</v>
      </c>
      <c r="M17" s="98">
        <v>724</v>
      </c>
      <c r="P17" s="8" t="s">
        <v>485</v>
      </c>
      <c r="Q17" s="98">
        <f t="array" ref="Q17">VLOOKUP(LEFT(P17,3)&amp;"-"&amp;RIGHT(P17)&amp;"00",$A$13:$M$23,MATCH($Q$13,$A$13:$M$13,0),0)</f>
        <v>915</v>
      </c>
    </row>
    <row r="18" spans="1:17" x14ac:dyDescent="0.3">
      <c r="A18" s="8" t="s">
        <v>496</v>
      </c>
      <c r="B18" s="98">
        <v>157</v>
      </c>
      <c r="C18" s="98">
        <v>178</v>
      </c>
      <c r="D18" s="98">
        <v>893</v>
      </c>
      <c r="E18" s="98">
        <v>295</v>
      </c>
      <c r="F18" s="98">
        <v>604</v>
      </c>
      <c r="G18" s="98">
        <v>373</v>
      </c>
      <c r="H18" s="98">
        <v>838</v>
      </c>
      <c r="I18" s="98">
        <v>642</v>
      </c>
      <c r="J18" s="98">
        <v>693</v>
      </c>
      <c r="K18" s="98">
        <v>108</v>
      </c>
      <c r="L18" s="98">
        <v>407</v>
      </c>
      <c r="M18" s="98">
        <v>427</v>
      </c>
      <c r="P18" s="8" t="s">
        <v>486</v>
      </c>
      <c r="Q18" s="98">
        <f t="array" ref="Q18">VLOOKUP(LEFT(P18,3)&amp;"-"&amp;RIGHT(P18)&amp;"00",$A$13:$M$23,MATCH($Q$13,$A$13:$M$13,0),0)</f>
        <v>373</v>
      </c>
    </row>
    <row r="19" spans="1:17" x14ac:dyDescent="0.3">
      <c r="A19" s="8" t="s">
        <v>497</v>
      </c>
      <c r="B19" s="98">
        <v>535</v>
      </c>
      <c r="C19" s="98">
        <v>941</v>
      </c>
      <c r="D19" s="98">
        <v>241</v>
      </c>
      <c r="E19" s="98">
        <v>691</v>
      </c>
      <c r="F19" s="98">
        <v>860</v>
      </c>
      <c r="G19" s="98">
        <v>702</v>
      </c>
      <c r="H19" s="98">
        <v>486</v>
      </c>
      <c r="I19" s="98">
        <v>867</v>
      </c>
      <c r="J19" s="98">
        <v>755</v>
      </c>
      <c r="K19" s="98">
        <v>920</v>
      </c>
      <c r="L19" s="98">
        <v>430</v>
      </c>
      <c r="M19" s="98">
        <v>698</v>
      </c>
      <c r="P19" s="8" t="s">
        <v>487</v>
      </c>
      <c r="Q19" s="98">
        <f t="array" ref="Q19">VLOOKUP(LEFT(P19,3)&amp;"-"&amp;RIGHT(P19)&amp;"00",$A$13:$M$23,MATCH($Q$13,$A$13:$M$13,0),0)</f>
        <v>702</v>
      </c>
    </row>
    <row r="20" spans="1:17" x14ac:dyDescent="0.3">
      <c r="A20" s="8" t="s">
        <v>498</v>
      </c>
      <c r="B20" s="98">
        <v>717</v>
      </c>
      <c r="C20" s="98">
        <v>439</v>
      </c>
      <c r="D20" s="98">
        <v>269</v>
      </c>
      <c r="E20" s="98">
        <v>310</v>
      </c>
      <c r="F20" s="98">
        <v>882</v>
      </c>
      <c r="G20" s="98">
        <v>391</v>
      </c>
      <c r="H20" s="98">
        <v>518</v>
      </c>
      <c r="I20" s="98">
        <v>555</v>
      </c>
      <c r="J20" s="98">
        <v>579</v>
      </c>
      <c r="K20" s="98">
        <v>879</v>
      </c>
      <c r="L20" s="98">
        <v>711</v>
      </c>
      <c r="M20" s="98">
        <v>572</v>
      </c>
      <c r="P20" s="8" t="s">
        <v>488</v>
      </c>
      <c r="Q20" s="98">
        <f t="array" ref="Q20">VLOOKUP(LEFT(P20,3)&amp;"-"&amp;RIGHT(P20)&amp;"00",$A$13:$M$23,MATCH($Q$13,$A$13:$M$13,0),0)</f>
        <v>391</v>
      </c>
    </row>
    <row r="21" spans="1:17" x14ac:dyDescent="0.3">
      <c r="A21" s="8" t="s">
        <v>499</v>
      </c>
      <c r="B21" s="98">
        <v>103</v>
      </c>
      <c r="C21" s="98">
        <v>432</v>
      </c>
      <c r="D21" s="98">
        <v>470</v>
      </c>
      <c r="E21" s="98">
        <v>820</v>
      </c>
      <c r="F21" s="98">
        <v>327</v>
      </c>
      <c r="G21" s="98">
        <v>931</v>
      </c>
      <c r="H21" s="98">
        <v>705</v>
      </c>
      <c r="I21" s="98">
        <v>622</v>
      </c>
      <c r="J21" s="98">
        <v>212</v>
      </c>
      <c r="K21" s="98">
        <v>166</v>
      </c>
      <c r="L21" s="98">
        <v>387</v>
      </c>
      <c r="M21" s="98">
        <v>383</v>
      </c>
      <c r="P21" s="8" t="s">
        <v>489</v>
      </c>
      <c r="Q21" s="98">
        <f t="array" ref="Q21">VLOOKUP(LEFT(P21,3)&amp;"-"&amp;RIGHT(P21)&amp;"00",$A$13:$M$23,MATCH($Q$13,$A$13:$M$13,0),0)</f>
        <v>931</v>
      </c>
    </row>
    <row r="22" spans="1:17" x14ac:dyDescent="0.3">
      <c r="A22" s="8" t="s">
        <v>500</v>
      </c>
      <c r="B22" s="98">
        <v>249</v>
      </c>
      <c r="C22" s="98">
        <v>385</v>
      </c>
      <c r="D22" s="98">
        <v>676</v>
      </c>
      <c r="E22" s="98">
        <v>166</v>
      </c>
      <c r="F22" s="98">
        <v>272</v>
      </c>
      <c r="G22" s="98">
        <v>149</v>
      </c>
      <c r="H22" s="98">
        <v>555</v>
      </c>
      <c r="I22" s="98">
        <v>838</v>
      </c>
      <c r="J22" s="98">
        <v>668</v>
      </c>
      <c r="K22" s="98">
        <v>199</v>
      </c>
      <c r="L22" s="98">
        <v>412</v>
      </c>
      <c r="M22" s="98">
        <v>673</v>
      </c>
      <c r="P22" s="8" t="s">
        <v>490</v>
      </c>
      <c r="Q22" s="98">
        <f t="array" ref="Q22">VLOOKUP(LEFT(P22,3)&amp;"-"&amp;RIGHT(P22)&amp;"00",$A$13:$M$23,MATCH($Q$13,$A$13:$M$13,0),0)</f>
        <v>149</v>
      </c>
    </row>
    <row r="23" spans="1:17" x14ac:dyDescent="0.3">
      <c r="A23" s="8" t="s">
        <v>501</v>
      </c>
      <c r="B23" s="98">
        <v>648</v>
      </c>
      <c r="C23" s="98">
        <v>725</v>
      </c>
      <c r="D23" s="98">
        <v>400</v>
      </c>
      <c r="E23" s="98">
        <v>435</v>
      </c>
      <c r="F23" s="98">
        <v>540</v>
      </c>
      <c r="G23" s="98">
        <v>808</v>
      </c>
      <c r="H23" s="98">
        <v>326</v>
      </c>
      <c r="I23" s="98">
        <v>602</v>
      </c>
      <c r="J23" s="98">
        <v>690</v>
      </c>
      <c r="K23" s="98">
        <v>912</v>
      </c>
      <c r="L23" s="98">
        <v>535</v>
      </c>
      <c r="M23" s="98">
        <v>489</v>
      </c>
      <c r="P23" s="8" t="s">
        <v>491</v>
      </c>
      <c r="Q23" s="98" t="e">
        <f t="array" ref="Q23">VLOOKUP(LEFT(P23,3)&amp;"-"&amp;RIGHT(P23)&amp;"00",$A$13:$M$23,MATCH($Q$13,$A$13:$M$13,0),0)</f>
        <v>#N/A</v>
      </c>
    </row>
  </sheetData>
  <phoneticPr fontId="20" type="noConversion"/>
  <dataValidations count="1">
    <dataValidation type="list" allowBlank="1" showInputMessage="1" showErrorMessage="1" sqref="Q1 Q13" xr:uid="{8CC1DEC4-690B-4109-8CB9-2DDDB444B196}">
      <formula1>$B$1:$M$1</formula1>
    </dataValidation>
  </dataValidation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BAB46-1942-4C87-9B3F-167ED7D67BC7}">
  <sheetPr codeName="Sheet3"/>
  <dimension ref="A1:E15"/>
  <sheetViews>
    <sheetView showGridLines="0" zoomScale="160" workbookViewId="0">
      <selection activeCell="D5" sqref="D5"/>
    </sheetView>
  </sheetViews>
  <sheetFormatPr defaultRowHeight="14.4" x14ac:dyDescent="0.3"/>
  <cols>
    <col min="1" max="1" width="10.77734375" bestFit="1" customWidth="1"/>
    <col min="2" max="2" width="11.44140625" bestFit="1" customWidth="1"/>
    <col min="4" max="4" width="13.21875" customWidth="1"/>
    <col min="5" max="5" width="32.77734375" customWidth="1"/>
  </cols>
  <sheetData>
    <row r="1" spans="1:5" x14ac:dyDescent="0.3">
      <c r="A1" s="16" t="s">
        <v>185</v>
      </c>
      <c r="B1" s="16" t="s">
        <v>186</v>
      </c>
    </row>
    <row r="2" spans="1:5" x14ac:dyDescent="0.3">
      <c r="A2" s="17" t="s">
        <v>181</v>
      </c>
      <c r="B2" s="1">
        <v>870000</v>
      </c>
    </row>
    <row r="3" spans="1:5" x14ac:dyDescent="0.3">
      <c r="A3" s="17" t="s">
        <v>182</v>
      </c>
      <c r="B3" s="1">
        <v>85000</v>
      </c>
      <c r="D3" s="141" t="s">
        <v>328</v>
      </c>
      <c r="E3" s="141"/>
    </row>
    <row r="4" spans="1:5" x14ac:dyDescent="0.3">
      <c r="A4" s="17" t="s">
        <v>183</v>
      </c>
      <c r="B4" s="1">
        <v>4355000</v>
      </c>
      <c r="D4" s="16" t="s">
        <v>107</v>
      </c>
      <c r="E4" s="16" t="s">
        <v>197</v>
      </c>
    </row>
    <row r="5" spans="1:5" x14ac:dyDescent="0.3">
      <c r="A5" s="17" t="s">
        <v>184</v>
      </c>
      <c r="B5" s="1">
        <v>47000</v>
      </c>
      <c r="D5" s="1" t="str">
        <f t="array" ref="D5">INDEX($A$1:$B$15,MATCH(LARGE($B$2:$B$15,ROW(A1)),$B$1:$B$15,0),1)</f>
        <v>Ishita</v>
      </c>
      <c r="E5" s="1">
        <f>LARGE($B$2:$B$15,ROW(A1))</f>
        <v>7955000</v>
      </c>
    </row>
    <row r="6" spans="1:5" x14ac:dyDescent="0.3">
      <c r="A6" s="17" t="s">
        <v>187</v>
      </c>
      <c r="B6" s="1">
        <v>855000</v>
      </c>
      <c r="D6" s="1" t="str">
        <f t="array" ref="D6">INDEX($A$1:$B$15,MATCH(LARGE($B$2:$B$15,ROW(A2)),$B$1:$B$15,0),1)</f>
        <v>Sai</v>
      </c>
      <c r="E6" s="1">
        <f t="shared" ref="E6:E7" si="0">LARGE($B$2:$B$15,ROW(A2))</f>
        <v>4355000</v>
      </c>
    </row>
    <row r="7" spans="1:5" x14ac:dyDescent="0.3">
      <c r="A7" s="17" t="s">
        <v>188</v>
      </c>
      <c r="B7" s="1">
        <v>690000</v>
      </c>
      <c r="D7" s="1" t="str">
        <f t="array" ref="D7">INDEX($A$1:$B$15,MATCH(LARGE($B$2:$B$15,ROW(A3)),$B$1:$B$15,0),1)</f>
        <v>Avinash</v>
      </c>
      <c r="E7" s="1">
        <f t="shared" si="0"/>
        <v>875000</v>
      </c>
    </row>
    <row r="8" spans="1:5" x14ac:dyDescent="0.3">
      <c r="A8" s="17" t="s">
        <v>189</v>
      </c>
      <c r="B8" s="1">
        <v>85000</v>
      </c>
    </row>
    <row r="9" spans="1:5" x14ac:dyDescent="0.3">
      <c r="A9" s="17" t="s">
        <v>190</v>
      </c>
      <c r="B9" s="1">
        <v>455000</v>
      </c>
      <c r="D9" s="141" t="s">
        <v>329</v>
      </c>
      <c r="E9" s="141"/>
    </row>
    <row r="10" spans="1:5" x14ac:dyDescent="0.3">
      <c r="A10" s="17" t="s">
        <v>191</v>
      </c>
      <c r="B10" s="1">
        <v>730000</v>
      </c>
      <c r="D10" s="16" t="s">
        <v>107</v>
      </c>
      <c r="E10" s="16" t="s">
        <v>197</v>
      </c>
    </row>
    <row r="11" spans="1:5" x14ac:dyDescent="0.3">
      <c r="A11" s="17" t="s">
        <v>192</v>
      </c>
      <c r="B11" s="1">
        <v>875000</v>
      </c>
      <c r="D11" s="1"/>
      <c r="E11" s="1">
        <f t="array" ref="E11">LARGE($B$2:$B$15,ROW(A1))</f>
        <v>7955000</v>
      </c>
    </row>
    <row r="12" spans="1:5" x14ac:dyDescent="0.3">
      <c r="A12" s="17" t="s">
        <v>193</v>
      </c>
      <c r="B12" s="1">
        <v>755000</v>
      </c>
      <c r="D12" s="1"/>
      <c r="E12" s="1">
        <f t="array" ref="E12">LARGE($B$2:$B$15,ROW(A2))</f>
        <v>4355000</v>
      </c>
    </row>
    <row r="13" spans="1:5" x14ac:dyDescent="0.3">
      <c r="A13" s="17" t="s">
        <v>194</v>
      </c>
      <c r="B13" s="1">
        <v>7955000</v>
      </c>
      <c r="D13" s="1"/>
      <c r="E13" s="1">
        <f t="array" ref="E13">LARGE($B$2:$B$15,ROW(A3))</f>
        <v>875000</v>
      </c>
    </row>
    <row r="14" spans="1:5" x14ac:dyDescent="0.3">
      <c r="A14" s="17" t="s">
        <v>195</v>
      </c>
      <c r="B14" s="1">
        <v>59000</v>
      </c>
    </row>
    <row r="15" spans="1:5" x14ac:dyDescent="0.3">
      <c r="A15" s="17" t="s">
        <v>196</v>
      </c>
      <c r="B15" s="1">
        <v>450000</v>
      </c>
    </row>
  </sheetData>
  <mergeCells count="2">
    <mergeCell ref="D9:E9"/>
    <mergeCell ref="D3:E3"/>
  </mergeCells>
  <conditionalFormatting sqref="A2:B15">
    <cfRule type="expression" dxfId="8" priority="1">
      <formula>ISODD(ROW())</formula>
    </cfRule>
    <cfRule type="expression" priority="2">
      <formula>"w"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50FE5-D135-4DA0-BE97-B38096457BD8}">
  <sheetPr codeName="Sheet1"/>
  <dimension ref="A1:Y61"/>
  <sheetViews>
    <sheetView showGridLines="0" topLeftCell="B1" zoomScale="84" workbookViewId="0">
      <selection activeCell="G11" sqref="G11"/>
    </sheetView>
  </sheetViews>
  <sheetFormatPr defaultRowHeight="14.4" x14ac:dyDescent="0.3"/>
  <cols>
    <col min="1" max="1" width="30.77734375" bestFit="1" customWidth="1"/>
    <col min="2" max="2" width="14.33203125" customWidth="1"/>
    <col min="3" max="3" width="13.77734375" customWidth="1"/>
    <col min="4" max="4" width="17.77734375" bestFit="1" customWidth="1"/>
    <col min="7" max="7" width="10.77734375" bestFit="1" customWidth="1"/>
    <col min="8" max="8" width="10.21875" bestFit="1" customWidth="1"/>
    <col min="9" max="9" width="8" bestFit="1" customWidth="1"/>
    <col min="10" max="10" width="14.21875" bestFit="1" customWidth="1"/>
    <col min="12" max="12" width="10.77734375" bestFit="1" customWidth="1"/>
    <col min="13" max="13" width="10.21875" bestFit="1" customWidth="1"/>
    <col min="14" max="14" width="8" bestFit="1" customWidth="1"/>
    <col min="15" max="15" width="14.21875" bestFit="1" customWidth="1"/>
    <col min="17" max="17" width="10.77734375" bestFit="1" customWidth="1"/>
    <col min="18" max="18" width="10.21875" bestFit="1" customWidth="1"/>
    <col min="19" max="19" width="8" bestFit="1" customWidth="1"/>
    <col min="20" max="20" width="14.21875" bestFit="1" customWidth="1"/>
    <col min="22" max="22" width="10.77734375" bestFit="1" customWidth="1"/>
    <col min="23" max="23" width="10.21875" bestFit="1" customWidth="1"/>
    <col min="24" max="24" width="8" bestFit="1" customWidth="1"/>
    <col min="25" max="25" width="14.21875" bestFit="1" customWidth="1"/>
  </cols>
  <sheetData>
    <row r="1" spans="1:25" ht="17.399999999999999" x14ac:dyDescent="0.45">
      <c r="A1" s="11" t="s">
        <v>0</v>
      </c>
      <c r="B1" s="12" t="s">
        <v>85</v>
      </c>
      <c r="C1" s="12" t="s">
        <v>84</v>
      </c>
      <c r="D1" s="12" t="s">
        <v>86</v>
      </c>
      <c r="G1" s="142" t="s">
        <v>103</v>
      </c>
      <c r="H1" s="143"/>
      <c r="I1" s="143"/>
      <c r="J1" s="143"/>
      <c r="L1" s="145" t="s">
        <v>104</v>
      </c>
      <c r="M1" s="146"/>
      <c r="N1" s="146"/>
      <c r="O1" s="146"/>
      <c r="Q1" s="148" t="s">
        <v>105</v>
      </c>
      <c r="R1" s="149"/>
      <c r="S1" s="149"/>
      <c r="T1" s="149"/>
      <c r="V1" s="151" t="s">
        <v>106</v>
      </c>
      <c r="W1" s="152"/>
      <c r="X1" s="152"/>
      <c r="Y1" s="152"/>
    </row>
    <row r="2" spans="1:25" x14ac:dyDescent="0.3">
      <c r="A2" s="1" t="s">
        <v>1</v>
      </c>
      <c r="B2" s="1" t="s">
        <v>87</v>
      </c>
      <c r="C2" s="1" t="s">
        <v>88</v>
      </c>
      <c r="D2" s="1" t="s">
        <v>95</v>
      </c>
      <c r="G2" s="144"/>
      <c r="H2" s="144"/>
      <c r="I2" s="144"/>
      <c r="J2" s="144"/>
      <c r="L2" s="147"/>
      <c r="M2" s="147"/>
      <c r="N2" s="147"/>
      <c r="O2" s="147"/>
      <c r="Q2" s="150"/>
      <c r="R2" s="150"/>
      <c r="S2" s="150"/>
      <c r="T2" s="150"/>
      <c r="V2" s="153"/>
      <c r="W2" s="153"/>
      <c r="X2" s="153"/>
      <c r="Y2" s="153"/>
    </row>
    <row r="3" spans="1:25" x14ac:dyDescent="0.3">
      <c r="A3" s="1" t="s">
        <v>2</v>
      </c>
      <c r="B3" s="1" t="s">
        <v>87</v>
      </c>
      <c r="C3" s="1" t="s">
        <v>88</v>
      </c>
      <c r="D3" s="1" t="s">
        <v>96</v>
      </c>
      <c r="G3" s="2" t="s">
        <v>0</v>
      </c>
      <c r="H3" s="3" t="s">
        <v>85</v>
      </c>
      <c r="I3" s="3" t="s">
        <v>84</v>
      </c>
      <c r="J3" s="3" t="s">
        <v>86</v>
      </c>
      <c r="L3" s="7" t="s">
        <v>0</v>
      </c>
      <c r="M3" s="8" t="s">
        <v>85</v>
      </c>
      <c r="N3" s="8" t="s">
        <v>84</v>
      </c>
      <c r="O3" s="8" t="s">
        <v>86</v>
      </c>
      <c r="Q3" s="9" t="s">
        <v>0</v>
      </c>
      <c r="R3" s="10" t="s">
        <v>85</v>
      </c>
      <c r="S3" s="10" t="s">
        <v>84</v>
      </c>
      <c r="T3" s="10" t="s">
        <v>86</v>
      </c>
      <c r="V3" s="4" t="s">
        <v>0</v>
      </c>
      <c r="W3" s="5" t="s">
        <v>85</v>
      </c>
      <c r="X3" s="5" t="s">
        <v>84</v>
      </c>
      <c r="Y3" s="5" t="s">
        <v>86</v>
      </c>
    </row>
    <row r="4" spans="1:25" x14ac:dyDescent="0.3">
      <c r="A4" s="1" t="s">
        <v>99</v>
      </c>
      <c r="B4" s="1" t="s">
        <v>89</v>
      </c>
      <c r="C4" s="1" t="s">
        <v>90</v>
      </c>
      <c r="D4" s="1" t="s">
        <v>96</v>
      </c>
      <c r="G4" s="1" t="s">
        <v>28</v>
      </c>
      <c r="H4" s="1"/>
      <c r="I4" s="1"/>
      <c r="J4" s="1"/>
      <c r="L4" s="1" t="s">
        <v>28</v>
      </c>
      <c r="M4" s="1"/>
      <c r="N4" s="1"/>
      <c r="O4" s="1"/>
      <c r="Q4" s="1" t="s">
        <v>28</v>
      </c>
      <c r="R4" s="1"/>
      <c r="S4" s="1"/>
      <c r="T4" s="1"/>
      <c r="V4" s="1" t="s">
        <v>28</v>
      </c>
      <c r="W4" s="1"/>
      <c r="X4" s="1"/>
      <c r="Y4" s="1"/>
    </row>
    <row r="5" spans="1:25" x14ac:dyDescent="0.3">
      <c r="A5" s="1" t="s">
        <v>3</v>
      </c>
      <c r="B5" s="1" t="s">
        <v>87</v>
      </c>
      <c r="C5" s="1" t="s">
        <v>88</v>
      </c>
      <c r="D5" s="1" t="s">
        <v>97</v>
      </c>
      <c r="G5" s="1" t="s">
        <v>29</v>
      </c>
      <c r="H5" s="1"/>
      <c r="I5" s="1"/>
      <c r="J5" s="1"/>
      <c r="L5" s="1" t="s">
        <v>29</v>
      </c>
      <c r="M5" s="1"/>
      <c r="N5" s="1"/>
      <c r="O5" s="1"/>
      <c r="Q5" s="1" t="s">
        <v>29</v>
      </c>
      <c r="R5" s="1"/>
      <c r="S5" s="1"/>
      <c r="T5" s="1"/>
      <c r="V5" s="1" t="s">
        <v>29</v>
      </c>
      <c r="W5" s="1"/>
      <c r="X5" s="1"/>
      <c r="Y5" s="1"/>
    </row>
    <row r="6" spans="1:25" x14ac:dyDescent="0.3">
      <c r="A6" s="1" t="s">
        <v>4</v>
      </c>
      <c r="B6" s="1" t="s">
        <v>89</v>
      </c>
      <c r="C6" s="1" t="s">
        <v>90</v>
      </c>
      <c r="D6" s="1" t="s">
        <v>97</v>
      </c>
      <c r="G6" s="1" t="s">
        <v>30</v>
      </c>
      <c r="H6" s="1"/>
      <c r="I6" s="1"/>
      <c r="J6" s="1"/>
      <c r="L6" s="1" t="s">
        <v>30</v>
      </c>
      <c r="M6" s="1"/>
      <c r="N6" s="1"/>
      <c r="O6" s="1"/>
      <c r="Q6" s="1" t="s">
        <v>30</v>
      </c>
      <c r="R6" s="1"/>
      <c r="S6" s="1"/>
      <c r="T6" s="1"/>
      <c r="V6" s="1" t="s">
        <v>30</v>
      </c>
      <c r="W6" s="1"/>
      <c r="X6" s="1"/>
      <c r="Y6" s="1"/>
    </row>
    <row r="7" spans="1:25" x14ac:dyDescent="0.3">
      <c r="A7" s="1" t="s">
        <v>5</v>
      </c>
      <c r="B7" s="1" t="s">
        <v>87</v>
      </c>
      <c r="C7" s="1" t="s">
        <v>88</v>
      </c>
      <c r="D7" s="1" t="s">
        <v>98</v>
      </c>
      <c r="G7" s="1" t="s">
        <v>31</v>
      </c>
      <c r="H7" s="1"/>
      <c r="I7" s="1"/>
      <c r="J7" s="1"/>
      <c r="L7" s="1" t="s">
        <v>31</v>
      </c>
      <c r="M7" s="1"/>
      <c r="N7" s="1"/>
      <c r="O7" s="1"/>
      <c r="Q7" s="1" t="s">
        <v>31</v>
      </c>
      <c r="R7" s="1"/>
      <c r="S7" s="1"/>
      <c r="T7" s="1"/>
      <c r="V7" s="1" t="s">
        <v>31</v>
      </c>
      <c r="W7" s="1"/>
      <c r="X7" s="1"/>
      <c r="Y7" s="1"/>
    </row>
    <row r="8" spans="1:25" x14ac:dyDescent="0.3">
      <c r="A8" s="1" t="s">
        <v>6</v>
      </c>
      <c r="B8" s="1" t="s">
        <v>89</v>
      </c>
      <c r="C8" s="1" t="s">
        <v>90</v>
      </c>
      <c r="D8" s="1" t="s">
        <v>97</v>
      </c>
      <c r="G8" s="1" t="s">
        <v>32</v>
      </c>
      <c r="H8" s="1"/>
      <c r="I8" s="1"/>
      <c r="J8" s="1"/>
      <c r="L8" s="1" t="s">
        <v>32</v>
      </c>
      <c r="M8" s="1"/>
      <c r="N8" s="1"/>
      <c r="O8" s="1"/>
      <c r="Q8" s="1" t="s">
        <v>32</v>
      </c>
      <c r="R8" s="1"/>
      <c r="S8" s="1"/>
      <c r="T8" s="1"/>
      <c r="V8" s="1" t="s">
        <v>32</v>
      </c>
      <c r="W8" s="1"/>
      <c r="X8" s="1"/>
      <c r="Y8" s="1"/>
    </row>
    <row r="9" spans="1:25" x14ac:dyDescent="0.3">
      <c r="A9" s="1" t="s">
        <v>7</v>
      </c>
      <c r="B9" s="1" t="s">
        <v>89</v>
      </c>
      <c r="C9" s="1" t="s">
        <v>90</v>
      </c>
      <c r="D9" s="1" t="s">
        <v>96</v>
      </c>
      <c r="G9" s="1" t="s">
        <v>33</v>
      </c>
      <c r="H9" s="1"/>
      <c r="I9" s="1"/>
      <c r="J9" s="1"/>
      <c r="L9" s="1" t="s">
        <v>33</v>
      </c>
      <c r="M9" s="1"/>
      <c r="N9" s="1"/>
      <c r="O9" s="1"/>
      <c r="Q9" s="1" t="s">
        <v>33</v>
      </c>
      <c r="R9" s="1"/>
      <c r="S9" s="1"/>
      <c r="T9" s="1"/>
      <c r="V9" s="1" t="s">
        <v>33</v>
      </c>
      <c r="W9" s="1"/>
      <c r="X9" s="1"/>
      <c r="Y9" s="1"/>
    </row>
    <row r="10" spans="1:25" x14ac:dyDescent="0.3">
      <c r="A10" s="1" t="s">
        <v>8</v>
      </c>
      <c r="B10" s="1" t="s">
        <v>91</v>
      </c>
      <c r="C10" s="1" t="s">
        <v>92</v>
      </c>
      <c r="D10" s="1" t="s">
        <v>97</v>
      </c>
      <c r="G10" s="1" t="s">
        <v>100</v>
      </c>
      <c r="H10" s="1"/>
      <c r="I10" s="1"/>
      <c r="J10" s="1"/>
      <c r="L10" s="1" t="s">
        <v>100</v>
      </c>
      <c r="M10" s="1"/>
      <c r="N10" s="1"/>
      <c r="O10" s="1"/>
      <c r="Q10" s="1" t="s">
        <v>100</v>
      </c>
      <c r="R10" s="1"/>
      <c r="S10" s="1"/>
      <c r="T10" s="1"/>
      <c r="V10" s="1" t="s">
        <v>100</v>
      </c>
      <c r="W10" s="1"/>
      <c r="X10" s="1"/>
      <c r="Y10" s="1"/>
    </row>
    <row r="11" spans="1:25" x14ac:dyDescent="0.3">
      <c r="A11" s="1" t="s">
        <v>101</v>
      </c>
      <c r="B11" s="1" t="s">
        <v>87</v>
      </c>
      <c r="C11" s="1" t="s">
        <v>88</v>
      </c>
      <c r="D11" s="1" t="s">
        <v>98</v>
      </c>
      <c r="G11" s="1" t="s">
        <v>34</v>
      </c>
      <c r="H11" s="1"/>
      <c r="I11" s="1"/>
      <c r="J11" s="1"/>
      <c r="L11" s="1" t="s">
        <v>34</v>
      </c>
      <c r="M11" s="1"/>
      <c r="N11" s="1"/>
      <c r="O11" s="1"/>
      <c r="Q11" s="1" t="s">
        <v>34</v>
      </c>
      <c r="R11" s="1"/>
      <c r="S11" s="1"/>
      <c r="T11" s="1"/>
      <c r="V11" s="1" t="s">
        <v>34</v>
      </c>
      <c r="W11" s="1"/>
      <c r="X11" s="1"/>
      <c r="Y11" s="1"/>
    </row>
    <row r="12" spans="1:25" x14ac:dyDescent="0.3">
      <c r="A12" s="1" t="s">
        <v>9</v>
      </c>
      <c r="B12" s="1" t="s">
        <v>93</v>
      </c>
      <c r="C12" s="1" t="s">
        <v>94</v>
      </c>
      <c r="D12" s="1" t="s">
        <v>95</v>
      </c>
      <c r="G12" s="1" t="s">
        <v>35</v>
      </c>
      <c r="H12" s="1"/>
      <c r="I12" s="1"/>
      <c r="J12" s="1"/>
      <c r="L12" s="1" t="s">
        <v>35</v>
      </c>
      <c r="M12" s="1"/>
      <c r="N12" s="1"/>
      <c r="O12" s="1"/>
      <c r="Q12" s="1" t="s">
        <v>35</v>
      </c>
      <c r="R12" s="1"/>
      <c r="S12" s="1"/>
      <c r="T12" s="1"/>
      <c r="V12" s="1" t="s">
        <v>35</v>
      </c>
      <c r="W12" s="1"/>
      <c r="X12" s="1"/>
      <c r="Y12" s="1"/>
    </row>
    <row r="13" spans="1:25" x14ac:dyDescent="0.3">
      <c r="A13" s="1" t="s">
        <v>10</v>
      </c>
      <c r="B13" s="1" t="s">
        <v>93</v>
      </c>
      <c r="C13" s="1" t="s">
        <v>94</v>
      </c>
      <c r="D13" s="1" t="s">
        <v>95</v>
      </c>
      <c r="G13" s="1" t="s">
        <v>36</v>
      </c>
      <c r="H13" s="1"/>
      <c r="I13" s="1"/>
      <c r="J13" s="1"/>
      <c r="L13" s="1" t="s">
        <v>36</v>
      </c>
      <c r="M13" s="1"/>
      <c r="N13" s="1"/>
      <c r="O13" s="1"/>
      <c r="Q13" s="1" t="s">
        <v>36</v>
      </c>
      <c r="R13" s="1"/>
      <c r="S13" s="1"/>
      <c r="T13" s="1"/>
      <c r="V13" s="1" t="s">
        <v>36</v>
      </c>
      <c r="W13" s="1"/>
      <c r="X13" s="1"/>
      <c r="Y13" s="1"/>
    </row>
    <row r="14" spans="1:25" x14ac:dyDescent="0.3">
      <c r="A14" s="1" t="s">
        <v>11</v>
      </c>
      <c r="B14" s="1" t="s">
        <v>89</v>
      </c>
      <c r="C14" s="1" t="s">
        <v>90</v>
      </c>
      <c r="D14" s="1" t="s">
        <v>98</v>
      </c>
      <c r="G14" s="1" t="s">
        <v>37</v>
      </c>
      <c r="H14" s="1"/>
      <c r="I14" s="1"/>
      <c r="J14" s="1"/>
      <c r="L14" s="1" t="s">
        <v>37</v>
      </c>
      <c r="M14" s="1"/>
      <c r="N14" s="1"/>
      <c r="O14" s="1"/>
      <c r="Q14" s="1" t="s">
        <v>37</v>
      </c>
      <c r="R14" s="1"/>
      <c r="S14" s="1"/>
      <c r="T14" s="1"/>
      <c r="V14" s="1" t="s">
        <v>37</v>
      </c>
      <c r="W14" s="1"/>
      <c r="X14" s="1"/>
      <c r="Y14" s="1"/>
    </row>
    <row r="15" spans="1:25" x14ac:dyDescent="0.3">
      <c r="A15" s="1" t="s">
        <v>12</v>
      </c>
      <c r="B15" s="1" t="s">
        <v>87</v>
      </c>
      <c r="C15" s="1" t="s">
        <v>88</v>
      </c>
      <c r="D15" s="1" t="s">
        <v>96</v>
      </c>
      <c r="G15" s="1" t="s">
        <v>102</v>
      </c>
      <c r="H15" s="1"/>
      <c r="I15" s="1"/>
      <c r="J15" s="1"/>
      <c r="L15" s="1" t="s">
        <v>102</v>
      </c>
      <c r="M15" s="1"/>
      <c r="N15" s="1"/>
      <c r="O15" s="1"/>
      <c r="Q15" s="1" t="s">
        <v>102</v>
      </c>
      <c r="R15" s="1"/>
      <c r="S15" s="1"/>
      <c r="T15" s="1"/>
      <c r="V15" s="1" t="s">
        <v>102</v>
      </c>
      <c r="W15" s="1"/>
      <c r="X15" s="1"/>
      <c r="Y15" s="1"/>
    </row>
    <row r="16" spans="1:25" x14ac:dyDescent="0.3">
      <c r="A16" s="1" t="s">
        <v>13</v>
      </c>
      <c r="B16" s="1" t="s">
        <v>93</v>
      </c>
      <c r="C16" s="1" t="s">
        <v>94</v>
      </c>
      <c r="D16" s="1" t="s">
        <v>98</v>
      </c>
      <c r="G16" s="1" t="s">
        <v>38</v>
      </c>
      <c r="H16" s="1"/>
      <c r="I16" s="1"/>
      <c r="J16" s="1"/>
      <c r="L16" s="1" t="s">
        <v>38</v>
      </c>
      <c r="M16" s="1"/>
      <c r="N16" s="1"/>
      <c r="O16" s="1"/>
      <c r="Q16" s="1" t="s">
        <v>38</v>
      </c>
      <c r="R16" s="1"/>
      <c r="S16" s="1"/>
      <c r="T16" s="1"/>
      <c r="V16" s="1" t="s">
        <v>38</v>
      </c>
      <c r="W16" s="1"/>
      <c r="X16" s="1"/>
      <c r="Y16" s="1"/>
    </row>
    <row r="17" spans="1:25" x14ac:dyDescent="0.3">
      <c r="A17" s="1" t="s">
        <v>14</v>
      </c>
      <c r="B17" s="1" t="s">
        <v>87</v>
      </c>
      <c r="C17" s="1" t="s">
        <v>88</v>
      </c>
      <c r="D17" s="1" t="s">
        <v>98</v>
      </c>
      <c r="G17" s="1" t="s">
        <v>39</v>
      </c>
      <c r="H17" s="1"/>
      <c r="I17" s="1"/>
      <c r="J17" s="1"/>
      <c r="L17" s="1" t="s">
        <v>39</v>
      </c>
      <c r="M17" s="1"/>
      <c r="N17" s="1"/>
      <c r="O17" s="1"/>
      <c r="Q17" s="1" t="s">
        <v>39</v>
      </c>
      <c r="R17" s="1"/>
      <c r="S17" s="1"/>
      <c r="T17" s="1"/>
      <c r="V17" s="1" t="s">
        <v>39</v>
      </c>
      <c r="W17" s="1"/>
      <c r="X17" s="1"/>
      <c r="Y17" s="1"/>
    </row>
    <row r="18" spans="1:25" x14ac:dyDescent="0.3">
      <c r="A18" s="1" t="s">
        <v>15</v>
      </c>
      <c r="B18" s="1" t="s">
        <v>91</v>
      </c>
      <c r="C18" s="1" t="s">
        <v>92</v>
      </c>
      <c r="D18" s="1" t="s">
        <v>97</v>
      </c>
      <c r="G18" s="1" t="s">
        <v>40</v>
      </c>
      <c r="H18" s="1"/>
      <c r="I18" s="1"/>
      <c r="J18" s="1"/>
      <c r="L18" s="1" t="s">
        <v>40</v>
      </c>
      <c r="M18" s="1"/>
      <c r="N18" s="1"/>
      <c r="O18" s="1"/>
      <c r="Q18" s="1" t="s">
        <v>40</v>
      </c>
      <c r="R18" s="1"/>
      <c r="S18" s="1"/>
      <c r="T18" s="1"/>
      <c r="V18" s="1" t="s">
        <v>40</v>
      </c>
      <c r="W18" s="1"/>
      <c r="X18" s="1"/>
      <c r="Y18" s="1"/>
    </row>
    <row r="19" spans="1:25" x14ac:dyDescent="0.3">
      <c r="A19" s="1" t="s">
        <v>16</v>
      </c>
      <c r="B19" s="1" t="s">
        <v>93</v>
      </c>
      <c r="C19" s="1" t="s">
        <v>94</v>
      </c>
      <c r="D19" s="1" t="s">
        <v>95</v>
      </c>
      <c r="G19" s="1" t="s">
        <v>41</v>
      </c>
      <c r="H19" s="1"/>
      <c r="I19" s="1"/>
      <c r="J19" s="1"/>
      <c r="L19" s="1" t="s">
        <v>41</v>
      </c>
      <c r="M19" s="1"/>
      <c r="N19" s="1"/>
      <c r="O19" s="1"/>
      <c r="Q19" s="1" t="s">
        <v>41</v>
      </c>
      <c r="R19" s="1"/>
      <c r="S19" s="1"/>
      <c r="T19" s="1"/>
      <c r="V19" s="1" t="s">
        <v>41</v>
      </c>
      <c r="W19" s="1"/>
      <c r="X19" s="1"/>
      <c r="Y19" s="1"/>
    </row>
    <row r="20" spans="1:25" x14ac:dyDescent="0.3">
      <c r="A20" s="1" t="s">
        <v>17</v>
      </c>
      <c r="B20" s="1" t="s">
        <v>91</v>
      </c>
      <c r="C20" s="1" t="s">
        <v>92</v>
      </c>
      <c r="D20" s="1" t="s">
        <v>97</v>
      </c>
      <c r="G20" s="1" t="s">
        <v>42</v>
      </c>
      <c r="H20" s="1"/>
      <c r="I20" s="1"/>
      <c r="J20" s="1"/>
      <c r="L20" s="1" t="s">
        <v>42</v>
      </c>
      <c r="M20" s="1"/>
      <c r="N20" s="1"/>
      <c r="O20" s="1"/>
      <c r="Q20" s="1" t="s">
        <v>42</v>
      </c>
      <c r="R20" s="1"/>
      <c r="S20" s="1"/>
      <c r="T20" s="1"/>
      <c r="V20" s="1" t="s">
        <v>42</v>
      </c>
      <c r="W20" s="1"/>
      <c r="X20" s="1"/>
      <c r="Y20" s="1"/>
    </row>
    <row r="21" spans="1:25" x14ac:dyDescent="0.3">
      <c r="A21" s="1" t="s">
        <v>18</v>
      </c>
      <c r="B21" s="1" t="s">
        <v>87</v>
      </c>
      <c r="C21" s="1" t="s">
        <v>88</v>
      </c>
      <c r="D21" s="1" t="s">
        <v>97</v>
      </c>
      <c r="G21" s="1" t="s">
        <v>43</v>
      </c>
      <c r="H21" s="1"/>
      <c r="I21" s="1"/>
      <c r="J21" s="1"/>
      <c r="L21" s="1" t="s">
        <v>43</v>
      </c>
      <c r="M21" s="1"/>
      <c r="N21" s="1"/>
      <c r="O21" s="1"/>
      <c r="Q21" s="1" t="s">
        <v>43</v>
      </c>
      <c r="R21" s="1"/>
      <c r="S21" s="1"/>
      <c r="T21" s="1"/>
      <c r="V21" s="1" t="s">
        <v>43</v>
      </c>
      <c r="W21" s="1"/>
      <c r="X21" s="1"/>
      <c r="Y21" s="1"/>
    </row>
    <row r="22" spans="1:25" x14ac:dyDescent="0.3">
      <c r="A22" s="1" t="s">
        <v>19</v>
      </c>
      <c r="B22" s="1" t="s">
        <v>89</v>
      </c>
      <c r="C22" s="1" t="s">
        <v>90</v>
      </c>
      <c r="D22" s="1" t="s">
        <v>98</v>
      </c>
      <c r="G22" s="1" t="s">
        <v>44</v>
      </c>
      <c r="H22" s="1"/>
      <c r="I22" s="1"/>
      <c r="J22" s="1"/>
      <c r="L22" s="1" t="s">
        <v>44</v>
      </c>
      <c r="M22" s="1"/>
      <c r="N22" s="1"/>
      <c r="O22" s="1"/>
      <c r="Q22" s="1" t="s">
        <v>44</v>
      </c>
      <c r="R22" s="1"/>
      <c r="S22" s="1"/>
      <c r="T22" s="1"/>
      <c r="V22" s="1" t="s">
        <v>44</v>
      </c>
      <c r="W22" s="1"/>
      <c r="X22" s="1"/>
      <c r="Y22" s="1"/>
    </row>
    <row r="23" spans="1:25" x14ac:dyDescent="0.3">
      <c r="A23" s="1" t="s">
        <v>20</v>
      </c>
      <c r="B23" s="1" t="s">
        <v>89</v>
      </c>
      <c r="C23" s="1" t="s">
        <v>90</v>
      </c>
      <c r="D23" s="1" t="s">
        <v>95</v>
      </c>
      <c r="G23" s="1" t="s">
        <v>45</v>
      </c>
      <c r="H23" s="1"/>
      <c r="I23" s="1"/>
      <c r="J23" s="1"/>
      <c r="L23" s="1" t="s">
        <v>45</v>
      </c>
      <c r="M23" s="1"/>
      <c r="N23" s="1"/>
      <c r="O23" s="1"/>
      <c r="Q23" s="1" t="s">
        <v>45</v>
      </c>
      <c r="R23" s="1"/>
      <c r="S23" s="1"/>
      <c r="T23" s="1"/>
      <c r="V23" s="1" t="s">
        <v>45</v>
      </c>
      <c r="W23" s="1"/>
      <c r="X23" s="1"/>
      <c r="Y23" s="1"/>
    </row>
    <row r="24" spans="1:25" x14ac:dyDescent="0.3">
      <c r="A24" s="1" t="s">
        <v>21</v>
      </c>
      <c r="B24" s="1" t="s">
        <v>89</v>
      </c>
      <c r="C24" s="1" t="s">
        <v>90</v>
      </c>
      <c r="D24" s="1" t="s">
        <v>96</v>
      </c>
      <c r="G24" s="1" t="s">
        <v>46</v>
      </c>
      <c r="H24" s="1"/>
      <c r="I24" s="1"/>
      <c r="J24" s="1"/>
      <c r="L24" s="1" t="s">
        <v>46</v>
      </c>
      <c r="M24" s="1"/>
      <c r="N24" s="1"/>
      <c r="O24" s="1"/>
      <c r="Q24" s="1" t="s">
        <v>46</v>
      </c>
      <c r="R24" s="1"/>
      <c r="S24" s="1"/>
      <c r="T24" s="1"/>
      <c r="V24" s="1" t="s">
        <v>46</v>
      </c>
      <c r="W24" s="1"/>
      <c r="X24" s="1"/>
      <c r="Y24" s="1"/>
    </row>
    <row r="25" spans="1:25" x14ac:dyDescent="0.3">
      <c r="A25" s="1" t="s">
        <v>22</v>
      </c>
      <c r="B25" s="1" t="s">
        <v>93</v>
      </c>
      <c r="C25" s="1" t="s">
        <v>94</v>
      </c>
      <c r="D25" s="1" t="s">
        <v>97</v>
      </c>
      <c r="G25" s="1" t="s">
        <v>47</v>
      </c>
      <c r="H25" s="1"/>
      <c r="I25" s="1"/>
      <c r="J25" s="1"/>
      <c r="L25" s="1" t="s">
        <v>47</v>
      </c>
      <c r="M25" s="1"/>
      <c r="N25" s="1"/>
      <c r="O25" s="1"/>
      <c r="Q25" s="1" t="s">
        <v>47</v>
      </c>
      <c r="R25" s="1"/>
      <c r="S25" s="1"/>
      <c r="T25" s="1"/>
      <c r="V25" s="1" t="s">
        <v>47</v>
      </c>
      <c r="W25" s="1"/>
      <c r="X25" s="1"/>
      <c r="Y25" s="1"/>
    </row>
    <row r="26" spans="1:25" x14ac:dyDescent="0.3">
      <c r="A26" s="1" t="s">
        <v>23</v>
      </c>
      <c r="B26" s="1" t="s">
        <v>87</v>
      </c>
      <c r="C26" s="1" t="s">
        <v>88</v>
      </c>
      <c r="D26" s="1" t="s">
        <v>96</v>
      </c>
      <c r="G26" s="1" t="s">
        <v>48</v>
      </c>
      <c r="H26" s="1"/>
      <c r="I26" s="1"/>
      <c r="J26" s="1"/>
      <c r="L26" s="1" t="s">
        <v>48</v>
      </c>
      <c r="M26" s="1"/>
      <c r="N26" s="1"/>
      <c r="O26" s="1"/>
      <c r="Q26" s="1" t="s">
        <v>48</v>
      </c>
      <c r="R26" s="1"/>
      <c r="S26" s="1"/>
      <c r="T26" s="1"/>
      <c r="V26" s="1" t="s">
        <v>48</v>
      </c>
      <c r="W26" s="1"/>
      <c r="X26" s="1"/>
      <c r="Y26" s="1"/>
    </row>
    <row r="27" spans="1:25" x14ac:dyDescent="0.3">
      <c r="A27" s="1" t="s">
        <v>24</v>
      </c>
      <c r="B27" s="1" t="s">
        <v>89</v>
      </c>
      <c r="C27" s="1" t="s">
        <v>90</v>
      </c>
      <c r="D27" s="1" t="s">
        <v>97</v>
      </c>
      <c r="G27" s="1" t="s">
        <v>49</v>
      </c>
      <c r="H27" s="1"/>
      <c r="I27" s="1"/>
      <c r="J27" s="1"/>
      <c r="L27" s="1" t="s">
        <v>49</v>
      </c>
      <c r="M27" s="1"/>
      <c r="N27" s="1"/>
      <c r="O27" s="1"/>
      <c r="Q27" s="1" t="s">
        <v>49</v>
      </c>
      <c r="R27" s="1"/>
      <c r="S27" s="1"/>
      <c r="T27" s="1"/>
      <c r="V27" s="1" t="s">
        <v>49</v>
      </c>
      <c r="W27" s="1"/>
      <c r="X27" s="1"/>
      <c r="Y27" s="1"/>
    </row>
    <row r="28" spans="1:25" x14ac:dyDescent="0.3">
      <c r="A28" s="1" t="s">
        <v>25</v>
      </c>
      <c r="B28" s="1" t="s">
        <v>87</v>
      </c>
      <c r="C28" s="1" t="s">
        <v>88</v>
      </c>
      <c r="D28" s="1" t="s">
        <v>95</v>
      </c>
      <c r="G28" s="1" t="s">
        <v>50</v>
      </c>
      <c r="H28" s="1"/>
      <c r="I28" s="1"/>
      <c r="J28" s="1"/>
      <c r="L28" s="1" t="s">
        <v>50</v>
      </c>
      <c r="M28" s="1"/>
      <c r="N28" s="1"/>
      <c r="O28" s="1"/>
      <c r="Q28" s="1" t="s">
        <v>50</v>
      </c>
      <c r="R28" s="1"/>
      <c r="S28" s="1"/>
      <c r="T28" s="1"/>
      <c r="V28" s="1" t="s">
        <v>50</v>
      </c>
      <c r="W28" s="1"/>
      <c r="X28" s="1"/>
      <c r="Y28" s="1"/>
    </row>
    <row r="29" spans="1:25" x14ac:dyDescent="0.3">
      <c r="A29" s="1" t="s">
        <v>26</v>
      </c>
      <c r="B29" s="1" t="s">
        <v>91</v>
      </c>
      <c r="C29" s="1" t="s">
        <v>92</v>
      </c>
      <c r="D29" s="1" t="s">
        <v>98</v>
      </c>
      <c r="G29" s="1" t="s">
        <v>51</v>
      </c>
      <c r="H29" s="1"/>
      <c r="I29" s="1"/>
      <c r="J29" s="1"/>
      <c r="L29" s="1" t="s">
        <v>51</v>
      </c>
      <c r="M29" s="1"/>
      <c r="N29" s="1"/>
      <c r="O29" s="1"/>
      <c r="Q29" s="1" t="s">
        <v>51</v>
      </c>
      <c r="R29" s="1"/>
      <c r="S29" s="1"/>
      <c r="T29" s="1"/>
      <c r="V29" s="1" t="s">
        <v>51</v>
      </c>
      <c r="W29" s="1"/>
      <c r="X29" s="1"/>
      <c r="Y29" s="1"/>
    </row>
    <row r="30" spans="1:25" x14ac:dyDescent="0.3">
      <c r="A30" s="1" t="s">
        <v>27</v>
      </c>
      <c r="B30" s="1" t="s">
        <v>93</v>
      </c>
      <c r="C30" s="1" t="s">
        <v>94</v>
      </c>
      <c r="D30" s="1" t="s">
        <v>98</v>
      </c>
      <c r="G30" s="1" t="s">
        <v>52</v>
      </c>
      <c r="H30" s="1"/>
      <c r="I30" s="1"/>
      <c r="J30" s="1"/>
      <c r="L30" s="1" t="s">
        <v>52</v>
      </c>
      <c r="M30" s="1"/>
      <c r="N30" s="1"/>
      <c r="O30" s="1"/>
      <c r="Q30" s="1" t="s">
        <v>52</v>
      </c>
      <c r="R30" s="1"/>
      <c r="S30" s="1"/>
      <c r="T30" s="1"/>
      <c r="V30" s="1" t="s">
        <v>52</v>
      </c>
      <c r="W30" s="1"/>
      <c r="X30" s="1"/>
      <c r="Y30" s="1"/>
    </row>
    <row r="31" spans="1:25" x14ac:dyDescent="0.3">
      <c r="G31" s="1" t="s">
        <v>53</v>
      </c>
      <c r="H31" s="1"/>
      <c r="I31" s="1"/>
      <c r="J31" s="1"/>
      <c r="L31" s="1" t="s">
        <v>53</v>
      </c>
      <c r="M31" s="1"/>
      <c r="N31" s="1"/>
      <c r="O31" s="1"/>
      <c r="Q31" s="1" t="s">
        <v>53</v>
      </c>
      <c r="R31" s="1"/>
      <c r="S31" s="1"/>
      <c r="T31" s="1"/>
      <c r="V31" s="1" t="s">
        <v>53</v>
      </c>
      <c r="W31" s="1"/>
      <c r="X31" s="1"/>
      <c r="Y31" s="1"/>
    </row>
    <row r="32" spans="1:25" x14ac:dyDescent="0.3">
      <c r="G32" s="1" t="s">
        <v>54</v>
      </c>
      <c r="H32" s="1"/>
      <c r="I32" s="1"/>
      <c r="J32" s="1"/>
      <c r="L32" s="1" t="s">
        <v>54</v>
      </c>
      <c r="M32" s="1"/>
      <c r="N32" s="1"/>
      <c r="O32" s="1"/>
      <c r="Q32" s="1" t="s">
        <v>54</v>
      </c>
      <c r="R32" s="1"/>
      <c r="S32" s="1"/>
      <c r="T32" s="1"/>
      <c r="V32" s="1" t="s">
        <v>54</v>
      </c>
      <c r="W32" s="1"/>
      <c r="X32" s="1"/>
      <c r="Y32" s="1"/>
    </row>
    <row r="33" spans="7:25" x14ac:dyDescent="0.3">
      <c r="G33" s="1" t="s">
        <v>55</v>
      </c>
      <c r="H33" s="1"/>
      <c r="I33" s="1"/>
      <c r="J33" s="1"/>
      <c r="L33" s="1" t="s">
        <v>55</v>
      </c>
      <c r="M33" s="1"/>
      <c r="N33" s="1"/>
      <c r="O33" s="1"/>
      <c r="Q33" s="1" t="s">
        <v>55</v>
      </c>
      <c r="R33" s="1"/>
      <c r="S33" s="1"/>
      <c r="T33" s="1"/>
      <c r="V33" s="1" t="s">
        <v>55</v>
      </c>
      <c r="W33" s="1"/>
      <c r="X33" s="1"/>
      <c r="Y33" s="1"/>
    </row>
    <row r="34" spans="7:25" x14ac:dyDescent="0.3">
      <c r="G34" s="1" t="s">
        <v>56</v>
      </c>
      <c r="H34" s="1"/>
      <c r="I34" s="1"/>
      <c r="J34" s="1"/>
      <c r="L34" s="1" t="s">
        <v>56</v>
      </c>
      <c r="M34" s="1"/>
      <c r="N34" s="1"/>
      <c r="O34" s="1"/>
      <c r="Q34" s="1" t="s">
        <v>56</v>
      </c>
      <c r="R34" s="1"/>
      <c r="S34" s="1"/>
      <c r="T34" s="1"/>
      <c r="V34" s="1" t="s">
        <v>56</v>
      </c>
      <c r="W34" s="1"/>
      <c r="X34" s="1"/>
      <c r="Y34" s="1"/>
    </row>
    <row r="35" spans="7:25" x14ac:dyDescent="0.3">
      <c r="G35" s="1" t="s">
        <v>57</v>
      </c>
      <c r="H35" s="1"/>
      <c r="I35" s="1"/>
      <c r="J35" s="1"/>
      <c r="L35" s="1" t="s">
        <v>57</v>
      </c>
      <c r="M35" s="1"/>
      <c r="N35" s="1"/>
      <c r="O35" s="1"/>
      <c r="Q35" s="1" t="s">
        <v>57</v>
      </c>
      <c r="R35" s="1"/>
      <c r="S35" s="1"/>
      <c r="T35" s="1"/>
      <c r="V35" s="1" t="s">
        <v>57</v>
      </c>
      <c r="W35" s="1"/>
      <c r="X35" s="1"/>
      <c r="Y35" s="1"/>
    </row>
    <row r="36" spans="7:25" x14ac:dyDescent="0.3">
      <c r="G36" s="1" t="s">
        <v>58</v>
      </c>
      <c r="H36" s="1"/>
      <c r="I36" s="1"/>
      <c r="J36" s="1"/>
      <c r="L36" s="1" t="s">
        <v>58</v>
      </c>
      <c r="M36" s="1"/>
      <c r="N36" s="1"/>
      <c r="O36" s="1"/>
      <c r="Q36" s="1" t="s">
        <v>58</v>
      </c>
      <c r="R36" s="1"/>
      <c r="S36" s="1"/>
      <c r="T36" s="1"/>
      <c r="V36" s="1" t="s">
        <v>58</v>
      </c>
      <c r="W36" s="1"/>
      <c r="X36" s="1"/>
      <c r="Y36" s="1"/>
    </row>
    <row r="37" spans="7:25" x14ac:dyDescent="0.3">
      <c r="G37" s="1" t="s">
        <v>59</v>
      </c>
      <c r="H37" s="1"/>
      <c r="I37" s="1"/>
      <c r="J37" s="1"/>
      <c r="L37" s="1" t="s">
        <v>59</v>
      </c>
      <c r="M37" s="1"/>
      <c r="N37" s="1"/>
      <c r="O37" s="1"/>
      <c r="Q37" s="1" t="s">
        <v>59</v>
      </c>
      <c r="R37" s="1"/>
      <c r="S37" s="1"/>
      <c r="T37" s="1"/>
      <c r="V37" s="1" t="s">
        <v>59</v>
      </c>
      <c r="W37" s="1"/>
      <c r="X37" s="1"/>
      <c r="Y37" s="1"/>
    </row>
    <row r="38" spans="7:25" x14ac:dyDescent="0.3">
      <c r="G38" s="1" t="s">
        <v>60</v>
      </c>
      <c r="H38" s="1"/>
      <c r="I38" s="1"/>
      <c r="J38" s="1"/>
      <c r="L38" s="1" t="s">
        <v>60</v>
      </c>
      <c r="M38" s="1"/>
      <c r="N38" s="1"/>
      <c r="O38" s="1"/>
      <c r="Q38" s="1" t="s">
        <v>60</v>
      </c>
      <c r="R38" s="1"/>
      <c r="S38" s="1"/>
      <c r="T38" s="1"/>
      <c r="V38" s="1" t="s">
        <v>60</v>
      </c>
      <c r="W38" s="1"/>
      <c r="X38" s="1"/>
      <c r="Y38" s="1"/>
    </row>
    <row r="39" spans="7:25" x14ac:dyDescent="0.3">
      <c r="G39" s="1" t="s">
        <v>61</v>
      </c>
      <c r="H39" s="1"/>
      <c r="I39" s="1"/>
      <c r="J39" s="1"/>
      <c r="L39" s="1" t="s">
        <v>61</v>
      </c>
      <c r="M39" s="1"/>
      <c r="N39" s="1"/>
      <c r="O39" s="1"/>
      <c r="Q39" s="1" t="s">
        <v>61</v>
      </c>
      <c r="R39" s="1"/>
      <c r="S39" s="1"/>
      <c r="T39" s="1"/>
      <c r="V39" s="1" t="s">
        <v>61</v>
      </c>
      <c r="W39" s="1"/>
      <c r="X39" s="1"/>
      <c r="Y39" s="1"/>
    </row>
    <row r="40" spans="7:25" x14ac:dyDescent="0.3">
      <c r="G40" s="1" t="s">
        <v>62</v>
      </c>
      <c r="H40" s="1"/>
      <c r="I40" s="1"/>
      <c r="J40" s="1"/>
      <c r="L40" s="1" t="s">
        <v>62</v>
      </c>
      <c r="M40" s="1"/>
      <c r="N40" s="1"/>
      <c r="O40" s="1"/>
      <c r="Q40" s="1" t="s">
        <v>62</v>
      </c>
      <c r="R40" s="1"/>
      <c r="S40" s="1"/>
      <c r="T40" s="1"/>
      <c r="V40" s="1" t="s">
        <v>62</v>
      </c>
      <c r="W40" s="1"/>
      <c r="X40" s="1"/>
      <c r="Y40" s="1"/>
    </row>
    <row r="41" spans="7:25" x14ac:dyDescent="0.3">
      <c r="G41" s="1" t="s">
        <v>63</v>
      </c>
      <c r="H41" s="1"/>
      <c r="I41" s="1"/>
      <c r="J41" s="1"/>
      <c r="L41" s="1" t="s">
        <v>63</v>
      </c>
      <c r="M41" s="1"/>
      <c r="N41" s="1"/>
      <c r="O41" s="1"/>
      <c r="Q41" s="1" t="s">
        <v>63</v>
      </c>
      <c r="R41" s="1"/>
      <c r="S41" s="1"/>
      <c r="T41" s="1"/>
      <c r="V41" s="1" t="s">
        <v>63</v>
      </c>
      <c r="W41" s="1"/>
      <c r="X41" s="1"/>
      <c r="Y41" s="1"/>
    </row>
    <row r="42" spans="7:25" x14ac:dyDescent="0.3">
      <c r="G42" s="1" t="s">
        <v>64</v>
      </c>
      <c r="H42" s="1"/>
      <c r="I42" s="1"/>
      <c r="J42" s="1"/>
      <c r="L42" s="1" t="s">
        <v>64</v>
      </c>
      <c r="M42" s="1"/>
      <c r="N42" s="1"/>
      <c r="O42" s="1"/>
      <c r="Q42" s="1" t="s">
        <v>64</v>
      </c>
      <c r="R42" s="1"/>
      <c r="S42" s="1"/>
      <c r="T42" s="1"/>
      <c r="V42" s="1" t="s">
        <v>64</v>
      </c>
      <c r="W42" s="1"/>
      <c r="X42" s="1"/>
      <c r="Y42" s="1"/>
    </row>
    <row r="43" spans="7:25" x14ac:dyDescent="0.3">
      <c r="G43" s="1" t="s">
        <v>65</v>
      </c>
      <c r="H43" s="1"/>
      <c r="I43" s="1"/>
      <c r="J43" s="1"/>
      <c r="L43" s="1" t="s">
        <v>65</v>
      </c>
      <c r="M43" s="1"/>
      <c r="N43" s="1"/>
      <c r="O43" s="1"/>
      <c r="Q43" s="1" t="s">
        <v>65</v>
      </c>
      <c r="R43" s="1"/>
      <c r="S43" s="1"/>
      <c r="T43" s="1"/>
      <c r="V43" s="1" t="s">
        <v>65</v>
      </c>
      <c r="W43" s="1"/>
      <c r="X43" s="1"/>
      <c r="Y43" s="1"/>
    </row>
    <row r="44" spans="7:25" x14ac:dyDescent="0.3">
      <c r="G44" s="1" t="s">
        <v>66</v>
      </c>
      <c r="H44" s="1"/>
      <c r="I44" s="1"/>
      <c r="J44" s="1"/>
      <c r="L44" s="1" t="s">
        <v>66</v>
      </c>
      <c r="M44" s="1"/>
      <c r="N44" s="1"/>
      <c r="O44" s="1"/>
      <c r="Q44" s="1" t="s">
        <v>66</v>
      </c>
      <c r="R44" s="1"/>
      <c r="S44" s="1"/>
      <c r="T44" s="1"/>
      <c r="V44" s="1" t="s">
        <v>66</v>
      </c>
      <c r="W44" s="1"/>
      <c r="X44" s="1"/>
      <c r="Y44" s="1"/>
    </row>
    <row r="45" spans="7:25" x14ac:dyDescent="0.3">
      <c r="G45" s="1" t="s">
        <v>67</v>
      </c>
      <c r="H45" s="1"/>
      <c r="I45" s="1"/>
      <c r="J45" s="1"/>
      <c r="L45" s="1" t="s">
        <v>67</v>
      </c>
      <c r="M45" s="1"/>
      <c r="N45" s="1"/>
      <c r="O45" s="1"/>
      <c r="Q45" s="1" t="s">
        <v>67</v>
      </c>
      <c r="R45" s="1"/>
      <c r="S45" s="1"/>
      <c r="T45" s="1"/>
      <c r="V45" s="1" t="s">
        <v>67</v>
      </c>
      <c r="W45" s="1"/>
      <c r="X45" s="1"/>
      <c r="Y45" s="1"/>
    </row>
    <row r="46" spans="7:25" x14ac:dyDescent="0.3">
      <c r="G46" s="1" t="s">
        <v>68</v>
      </c>
      <c r="H46" s="1"/>
      <c r="I46" s="1"/>
      <c r="J46" s="1"/>
      <c r="L46" s="1" t="s">
        <v>68</v>
      </c>
      <c r="M46" s="1"/>
      <c r="N46" s="1"/>
      <c r="O46" s="1"/>
      <c r="Q46" s="1" t="s">
        <v>68</v>
      </c>
      <c r="R46" s="1"/>
      <c r="S46" s="1"/>
      <c r="T46" s="1"/>
      <c r="V46" s="1" t="s">
        <v>68</v>
      </c>
      <c r="W46" s="1"/>
      <c r="X46" s="1"/>
      <c r="Y46" s="1"/>
    </row>
    <row r="47" spans="7:25" x14ac:dyDescent="0.3">
      <c r="G47" s="1" t="s">
        <v>69</v>
      </c>
      <c r="H47" s="1"/>
      <c r="I47" s="1"/>
      <c r="J47" s="1"/>
      <c r="L47" s="1" t="s">
        <v>69</v>
      </c>
      <c r="M47" s="1"/>
      <c r="N47" s="1"/>
      <c r="O47" s="1"/>
      <c r="Q47" s="1" t="s">
        <v>69</v>
      </c>
      <c r="R47" s="1"/>
      <c r="S47" s="1"/>
      <c r="T47" s="1"/>
      <c r="V47" s="1" t="s">
        <v>69</v>
      </c>
      <c r="W47" s="1"/>
      <c r="X47" s="1"/>
      <c r="Y47" s="1"/>
    </row>
    <row r="48" spans="7:25" x14ac:dyDescent="0.3">
      <c r="G48" s="1" t="s">
        <v>70</v>
      </c>
      <c r="H48" s="1"/>
      <c r="I48" s="1"/>
      <c r="J48" s="1"/>
      <c r="L48" s="1" t="s">
        <v>70</v>
      </c>
      <c r="M48" s="1"/>
      <c r="N48" s="1"/>
      <c r="O48" s="1"/>
      <c r="Q48" s="1" t="s">
        <v>70</v>
      </c>
      <c r="R48" s="1"/>
      <c r="S48" s="1"/>
      <c r="T48" s="1"/>
      <c r="V48" s="1" t="s">
        <v>70</v>
      </c>
      <c r="W48" s="1"/>
      <c r="X48" s="1"/>
      <c r="Y48" s="1"/>
    </row>
    <row r="49" spans="7:25" x14ac:dyDescent="0.3">
      <c r="G49" s="1" t="s">
        <v>71</v>
      </c>
      <c r="H49" s="1"/>
      <c r="I49" s="1"/>
      <c r="J49" s="1"/>
      <c r="L49" s="1" t="s">
        <v>71</v>
      </c>
      <c r="M49" s="1"/>
      <c r="N49" s="1"/>
      <c r="O49" s="1"/>
      <c r="Q49" s="1" t="s">
        <v>71</v>
      </c>
      <c r="R49" s="1"/>
      <c r="S49" s="1"/>
      <c r="T49" s="1"/>
      <c r="V49" s="1" t="s">
        <v>71</v>
      </c>
      <c r="W49" s="1"/>
      <c r="X49" s="1"/>
      <c r="Y49" s="1"/>
    </row>
    <row r="50" spans="7:25" x14ac:dyDescent="0.3">
      <c r="G50" s="1" t="s">
        <v>72</v>
      </c>
      <c r="H50" s="1"/>
      <c r="I50" s="1"/>
      <c r="J50" s="1"/>
      <c r="L50" s="1" t="s">
        <v>72</v>
      </c>
      <c r="M50" s="1"/>
      <c r="N50" s="1"/>
      <c r="O50" s="1"/>
      <c r="Q50" s="1" t="s">
        <v>72</v>
      </c>
      <c r="R50" s="1"/>
      <c r="S50" s="1"/>
      <c r="T50" s="1"/>
      <c r="V50" s="1" t="s">
        <v>72</v>
      </c>
      <c r="W50" s="1"/>
      <c r="X50" s="1"/>
      <c r="Y50" s="1"/>
    </row>
    <row r="51" spans="7:25" x14ac:dyDescent="0.3">
      <c r="G51" s="1" t="s">
        <v>73</v>
      </c>
      <c r="H51" s="1"/>
      <c r="I51" s="1"/>
      <c r="J51" s="1"/>
      <c r="L51" s="1" t="s">
        <v>73</v>
      </c>
      <c r="M51" s="1"/>
      <c r="N51" s="1"/>
      <c r="O51" s="1"/>
      <c r="Q51" s="1" t="s">
        <v>73</v>
      </c>
      <c r="R51" s="1"/>
      <c r="S51" s="1"/>
      <c r="T51" s="1"/>
      <c r="V51" s="1" t="s">
        <v>73</v>
      </c>
      <c r="W51" s="1"/>
      <c r="X51" s="1"/>
      <c r="Y51" s="1"/>
    </row>
    <row r="52" spans="7:25" x14ac:dyDescent="0.3">
      <c r="G52" s="1" t="s">
        <v>74</v>
      </c>
      <c r="H52" s="1"/>
      <c r="I52" s="1"/>
      <c r="J52" s="1"/>
      <c r="L52" s="1" t="s">
        <v>74</v>
      </c>
      <c r="M52" s="1"/>
      <c r="N52" s="1"/>
      <c r="O52" s="1"/>
      <c r="Q52" s="1" t="s">
        <v>74</v>
      </c>
      <c r="R52" s="1"/>
      <c r="S52" s="1"/>
      <c r="T52" s="1"/>
      <c r="V52" s="1" t="s">
        <v>74</v>
      </c>
      <c r="W52" s="1"/>
      <c r="X52" s="1"/>
      <c r="Y52" s="1"/>
    </row>
    <row r="53" spans="7:25" x14ac:dyDescent="0.3">
      <c r="G53" s="1" t="s">
        <v>75</v>
      </c>
      <c r="H53" s="1"/>
      <c r="I53" s="1"/>
      <c r="J53" s="1"/>
      <c r="L53" s="1" t="s">
        <v>75</v>
      </c>
      <c r="M53" s="1"/>
      <c r="N53" s="1"/>
      <c r="O53" s="1"/>
      <c r="Q53" s="1" t="s">
        <v>75</v>
      </c>
      <c r="R53" s="1"/>
      <c r="S53" s="1"/>
      <c r="T53" s="1"/>
      <c r="V53" s="1" t="s">
        <v>75</v>
      </c>
      <c r="W53" s="1"/>
      <c r="X53" s="1"/>
      <c r="Y53" s="1"/>
    </row>
    <row r="54" spans="7:25" x14ac:dyDescent="0.3">
      <c r="G54" s="1" t="s">
        <v>76</v>
      </c>
      <c r="H54" s="1"/>
      <c r="I54" s="1"/>
      <c r="J54" s="1"/>
      <c r="L54" s="1" t="s">
        <v>76</v>
      </c>
      <c r="M54" s="1"/>
      <c r="N54" s="1"/>
      <c r="O54" s="1"/>
      <c r="Q54" s="1" t="s">
        <v>76</v>
      </c>
      <c r="R54" s="1"/>
      <c r="S54" s="1"/>
      <c r="T54" s="1"/>
      <c r="V54" s="1" t="s">
        <v>76</v>
      </c>
      <c r="W54" s="1"/>
      <c r="X54" s="1"/>
      <c r="Y54" s="1"/>
    </row>
    <row r="55" spans="7:25" x14ac:dyDescent="0.3">
      <c r="G55" s="1" t="s">
        <v>77</v>
      </c>
      <c r="H55" s="1"/>
      <c r="I55" s="1"/>
      <c r="J55" s="1"/>
      <c r="L55" s="1" t="s">
        <v>77</v>
      </c>
      <c r="M55" s="1"/>
      <c r="N55" s="1"/>
      <c r="O55" s="1"/>
      <c r="Q55" s="1" t="s">
        <v>77</v>
      </c>
      <c r="R55" s="1"/>
      <c r="S55" s="1"/>
      <c r="T55" s="1"/>
      <c r="V55" s="1" t="s">
        <v>77</v>
      </c>
      <c r="W55" s="1"/>
      <c r="X55" s="1"/>
      <c r="Y55" s="1"/>
    </row>
    <row r="56" spans="7:25" x14ac:dyDescent="0.3">
      <c r="G56" s="1" t="s">
        <v>78</v>
      </c>
      <c r="H56" s="1"/>
      <c r="I56" s="1"/>
      <c r="J56" s="1"/>
      <c r="L56" s="1" t="s">
        <v>78</v>
      </c>
      <c r="M56" s="1"/>
      <c r="N56" s="1"/>
      <c r="O56" s="1"/>
      <c r="Q56" s="1" t="s">
        <v>78</v>
      </c>
      <c r="R56" s="1"/>
      <c r="S56" s="1"/>
      <c r="T56" s="1"/>
      <c r="V56" s="1" t="s">
        <v>78</v>
      </c>
      <c r="W56" s="1"/>
      <c r="X56" s="1"/>
      <c r="Y56" s="1"/>
    </row>
    <row r="57" spans="7:25" x14ac:dyDescent="0.3">
      <c r="G57" s="1" t="s">
        <v>79</v>
      </c>
      <c r="H57" s="1"/>
      <c r="I57" s="1"/>
      <c r="J57" s="1"/>
      <c r="L57" s="1" t="s">
        <v>79</v>
      </c>
      <c r="M57" s="1"/>
      <c r="N57" s="1"/>
      <c r="O57" s="1"/>
      <c r="Q57" s="1" t="s">
        <v>79</v>
      </c>
      <c r="R57" s="1"/>
      <c r="S57" s="1"/>
      <c r="T57" s="1"/>
      <c r="V57" s="1" t="s">
        <v>79</v>
      </c>
      <c r="W57" s="1"/>
      <c r="X57" s="1"/>
      <c r="Y57" s="1"/>
    </row>
    <row r="58" spans="7:25" x14ac:dyDescent="0.3">
      <c r="G58" s="1" t="s">
        <v>80</v>
      </c>
      <c r="H58" s="1"/>
      <c r="I58" s="1"/>
      <c r="J58" s="1"/>
      <c r="L58" s="1" t="s">
        <v>80</v>
      </c>
      <c r="M58" s="1"/>
      <c r="N58" s="1"/>
      <c r="O58" s="1"/>
      <c r="Q58" s="1" t="s">
        <v>80</v>
      </c>
      <c r="R58" s="1"/>
      <c r="S58" s="1"/>
      <c r="T58" s="1"/>
      <c r="V58" s="1" t="s">
        <v>80</v>
      </c>
      <c r="W58" s="1"/>
      <c r="X58" s="1"/>
      <c r="Y58" s="1"/>
    </row>
    <row r="59" spans="7:25" x14ac:dyDescent="0.3">
      <c r="G59" s="1" t="s">
        <v>81</v>
      </c>
      <c r="H59" s="1"/>
      <c r="I59" s="1"/>
      <c r="J59" s="1"/>
      <c r="L59" s="1" t="s">
        <v>81</v>
      </c>
      <c r="M59" s="1"/>
      <c r="N59" s="1"/>
      <c r="O59" s="1"/>
      <c r="Q59" s="1" t="s">
        <v>81</v>
      </c>
      <c r="R59" s="1"/>
      <c r="S59" s="1"/>
      <c r="T59" s="1"/>
      <c r="V59" s="1" t="s">
        <v>81</v>
      </c>
      <c r="W59" s="1"/>
      <c r="X59" s="1"/>
      <c r="Y59" s="1"/>
    </row>
    <row r="60" spans="7:25" x14ac:dyDescent="0.3">
      <c r="G60" s="1" t="s">
        <v>82</v>
      </c>
      <c r="H60" s="1"/>
      <c r="I60" s="1"/>
      <c r="J60" s="1"/>
      <c r="L60" s="1" t="s">
        <v>82</v>
      </c>
      <c r="M60" s="1"/>
      <c r="N60" s="1"/>
      <c r="O60" s="1"/>
      <c r="Q60" s="1" t="s">
        <v>82</v>
      </c>
      <c r="R60" s="1"/>
      <c r="S60" s="1"/>
      <c r="T60" s="1"/>
      <c r="V60" s="1" t="s">
        <v>82</v>
      </c>
      <c r="W60" s="1"/>
      <c r="X60" s="1"/>
      <c r="Y60" s="1"/>
    </row>
    <row r="61" spans="7:25" x14ac:dyDescent="0.3">
      <c r="G61" s="1" t="s">
        <v>83</v>
      </c>
      <c r="H61" s="1"/>
      <c r="I61" s="1"/>
      <c r="J61" s="1"/>
      <c r="L61" s="1" t="s">
        <v>83</v>
      </c>
      <c r="M61" s="1"/>
      <c r="N61" s="1"/>
      <c r="O61" s="1"/>
      <c r="Q61" s="1" t="s">
        <v>83</v>
      </c>
      <c r="R61" s="1"/>
      <c r="S61" s="1"/>
      <c r="T61" s="1"/>
      <c r="V61" s="1" t="s">
        <v>83</v>
      </c>
      <c r="W61" s="1"/>
      <c r="X61" s="1"/>
      <c r="Y61" s="1"/>
    </row>
  </sheetData>
  <mergeCells count="4">
    <mergeCell ref="G1:J2"/>
    <mergeCell ref="L1:O2"/>
    <mergeCell ref="Q1:T2"/>
    <mergeCell ref="V1:Y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0BAD4-37B0-4D0C-9C8E-42752B6A49D7}">
  <dimension ref="A1:E20"/>
  <sheetViews>
    <sheetView showGridLines="0" zoomScale="177" workbookViewId="0">
      <selection activeCell="A7" sqref="A7"/>
    </sheetView>
  </sheetViews>
  <sheetFormatPr defaultRowHeight="14.4" x14ac:dyDescent="0.3"/>
  <cols>
    <col min="1" max="1" width="15.88671875" bestFit="1" customWidth="1"/>
    <col min="2" max="2" width="19.77734375" bestFit="1" customWidth="1"/>
    <col min="4" max="4" width="15.5546875" bestFit="1" customWidth="1"/>
    <col min="5" max="5" width="12.44140625" bestFit="1" customWidth="1"/>
  </cols>
  <sheetData>
    <row r="1" spans="1:5" x14ac:dyDescent="0.3">
      <c r="A1" s="64" t="s">
        <v>384</v>
      </c>
      <c r="B1" s="64" t="s">
        <v>299</v>
      </c>
      <c r="D1" s="61" t="s">
        <v>384</v>
      </c>
      <c r="E1" s="61" t="s">
        <v>299</v>
      </c>
    </row>
    <row r="2" spans="1:5" ht="28.8" x14ac:dyDescent="0.3">
      <c r="A2" t="s">
        <v>369</v>
      </c>
      <c r="B2" s="59" t="s">
        <v>385</v>
      </c>
      <c r="D2" s="62" t="s">
        <v>398</v>
      </c>
      <c r="E2" s="63"/>
    </row>
    <row r="3" spans="1:5" ht="28.8" x14ac:dyDescent="0.3">
      <c r="A3" t="s">
        <v>371</v>
      </c>
      <c r="B3" s="58" t="s">
        <v>386</v>
      </c>
      <c r="D3" s="62" t="s">
        <v>399</v>
      </c>
      <c r="E3" s="63"/>
    </row>
    <row r="4" spans="1:5" ht="28.8" x14ac:dyDescent="0.3">
      <c r="A4" t="s">
        <v>372</v>
      </c>
      <c r="B4" s="59" t="s">
        <v>387</v>
      </c>
      <c r="D4" s="62" t="s">
        <v>400</v>
      </c>
      <c r="E4" s="63"/>
    </row>
    <row r="5" spans="1:5" ht="28.8" x14ac:dyDescent="0.3">
      <c r="A5" t="s">
        <v>373</v>
      </c>
      <c r="B5" s="58" t="s">
        <v>388</v>
      </c>
      <c r="D5" s="62" t="s">
        <v>401</v>
      </c>
      <c r="E5" s="63"/>
    </row>
    <row r="6" spans="1:5" ht="28.8" x14ac:dyDescent="0.3">
      <c r="A6" t="s">
        <v>374</v>
      </c>
      <c r="B6" s="59" t="s">
        <v>388</v>
      </c>
      <c r="D6" s="62" t="s">
        <v>402</v>
      </c>
      <c r="E6" s="63"/>
    </row>
    <row r="7" spans="1:5" ht="28.8" x14ac:dyDescent="0.3">
      <c r="A7" t="s">
        <v>370</v>
      </c>
      <c r="B7" s="58" t="s">
        <v>389</v>
      </c>
      <c r="D7" s="62" t="s">
        <v>403</v>
      </c>
      <c r="E7" s="63"/>
    </row>
    <row r="8" spans="1:5" ht="37.950000000000003" customHeight="1" x14ac:dyDescent="0.3">
      <c r="A8" t="s">
        <v>375</v>
      </c>
      <c r="B8" s="59" t="s">
        <v>390</v>
      </c>
    </row>
    <row r="9" spans="1:5" ht="31.5" customHeight="1" x14ac:dyDescent="0.3">
      <c r="A9" t="s">
        <v>376</v>
      </c>
      <c r="B9" s="58" t="s">
        <v>390</v>
      </c>
    </row>
    <row r="10" spans="1:5" ht="30" customHeight="1" x14ac:dyDescent="0.3">
      <c r="A10" t="s">
        <v>377</v>
      </c>
      <c r="B10" s="59" t="s">
        <v>390</v>
      </c>
    </row>
    <row r="11" spans="1:5" ht="37.049999999999997" customHeight="1" x14ac:dyDescent="0.3">
      <c r="A11" t="s">
        <v>378</v>
      </c>
      <c r="B11" s="58" t="s">
        <v>390</v>
      </c>
    </row>
    <row r="12" spans="1:5" ht="38.549999999999997" customHeight="1" x14ac:dyDescent="0.3">
      <c r="A12" t="s">
        <v>379</v>
      </c>
      <c r="B12" s="59" t="s">
        <v>390</v>
      </c>
    </row>
    <row r="13" spans="1:5" ht="38.549999999999997" customHeight="1" x14ac:dyDescent="0.3">
      <c r="A13" t="s">
        <v>380</v>
      </c>
      <c r="B13" s="58" t="s">
        <v>391</v>
      </c>
    </row>
    <row r="14" spans="1:5" ht="34.5" customHeight="1" x14ac:dyDescent="0.3">
      <c r="A14" t="s">
        <v>381</v>
      </c>
      <c r="B14" s="59" t="s">
        <v>391</v>
      </c>
    </row>
    <row r="15" spans="1:5" ht="28.05" customHeight="1" x14ac:dyDescent="0.3">
      <c r="A15" t="s">
        <v>382</v>
      </c>
      <c r="B15" s="58" t="s">
        <v>392</v>
      </c>
    </row>
    <row r="16" spans="1:5" ht="28.5" customHeight="1" x14ac:dyDescent="0.3">
      <c r="A16" t="s">
        <v>383</v>
      </c>
      <c r="B16" s="59" t="s">
        <v>392</v>
      </c>
    </row>
    <row r="17" spans="1:2" ht="28.5" customHeight="1" x14ac:dyDescent="0.3">
      <c r="A17" t="s">
        <v>396</v>
      </c>
      <c r="B17" s="58" t="s">
        <v>392</v>
      </c>
    </row>
    <row r="18" spans="1:2" ht="30" customHeight="1" x14ac:dyDescent="0.3">
      <c r="A18" t="s">
        <v>397</v>
      </c>
      <c r="B18" s="59" t="s">
        <v>393</v>
      </c>
    </row>
    <row r="19" spans="1:2" ht="37.950000000000003" customHeight="1" x14ac:dyDescent="0.3">
      <c r="A19" t="s">
        <v>394</v>
      </c>
      <c r="B19" s="58" t="s">
        <v>393</v>
      </c>
    </row>
    <row r="20" spans="1:2" ht="31.5" customHeight="1" thickBot="1" x14ac:dyDescent="0.35">
      <c r="A20" t="s">
        <v>395</v>
      </c>
      <c r="B20" s="60" t="s">
        <v>393</v>
      </c>
    </row>
  </sheetData>
  <conditionalFormatting sqref="A2:B20">
    <cfRule type="expression" dxfId="7" priority="1">
      <formula>ISEVEN(ROW())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4ED8-1F0B-45FA-9787-EA1495BB4CA1}">
  <dimension ref="A1:AL12"/>
  <sheetViews>
    <sheetView showGridLines="0" zoomScale="165" workbookViewId="0">
      <selection activeCell="D9" sqref="D9"/>
    </sheetView>
  </sheetViews>
  <sheetFormatPr defaultRowHeight="14.4" x14ac:dyDescent="0.3"/>
  <cols>
    <col min="2" max="2" width="10.5546875" customWidth="1"/>
    <col min="4" max="4" width="25.44140625" bestFit="1" customWidth="1"/>
    <col min="7" max="7" width="8.5546875" bestFit="1" customWidth="1"/>
  </cols>
  <sheetData>
    <row r="1" spans="1:38" x14ac:dyDescent="0.3">
      <c r="A1" s="68" t="s">
        <v>214</v>
      </c>
      <c r="B1" s="99" t="s">
        <v>197</v>
      </c>
      <c r="D1" s="76" t="s">
        <v>520</v>
      </c>
    </row>
    <row r="2" spans="1:38" ht="15" customHeight="1" x14ac:dyDescent="0.3">
      <c r="A2" s="17" t="s">
        <v>522</v>
      </c>
      <c r="B2" s="1">
        <v>991</v>
      </c>
      <c r="D2" s="100" t="s">
        <v>524</v>
      </c>
    </row>
    <row r="3" spans="1:38" x14ac:dyDescent="0.3">
      <c r="A3" s="17" t="s">
        <v>523</v>
      </c>
      <c r="B3" s="1">
        <v>963</v>
      </c>
      <c r="D3" s="101" t="s">
        <v>525</v>
      </c>
    </row>
    <row r="4" spans="1:38" x14ac:dyDescent="0.3">
      <c r="A4" s="17" t="s">
        <v>272</v>
      </c>
      <c r="B4" s="1">
        <v>565</v>
      </c>
    </row>
    <row r="5" spans="1:38" x14ac:dyDescent="0.3">
      <c r="A5" s="17" t="s">
        <v>519</v>
      </c>
      <c r="B5" s="1">
        <v>851</v>
      </c>
      <c r="D5" s="68" t="s">
        <v>521</v>
      </c>
      <c r="AL5">
        <f t="array" aca="1" ref="AL5" ca="1">SUM(HLOOKUP(B1,$A$1:$B$12,ROW(INDIRECT(MAX(MATCH($D$2:$D$3,$A$2:$A$12,0))&amp;":"&amp;MIN(MATCH($D$2:$D$3,$A$2:$A$12,0))))+1,0))</f>
        <v>5792</v>
      </c>
    </row>
    <row r="6" spans="1:38" x14ac:dyDescent="0.3">
      <c r="A6" s="17" t="s">
        <v>524</v>
      </c>
      <c r="B6" s="1">
        <v>885</v>
      </c>
      <c r="D6" s="1"/>
    </row>
    <row r="7" spans="1:38" x14ac:dyDescent="0.3">
      <c r="A7" s="17" t="s">
        <v>518</v>
      </c>
      <c r="B7" s="1">
        <v>829</v>
      </c>
    </row>
    <row r="8" spans="1:38" x14ac:dyDescent="0.3">
      <c r="A8" s="17" t="s">
        <v>517</v>
      </c>
      <c r="B8" s="1">
        <v>712</v>
      </c>
    </row>
    <row r="9" spans="1:38" x14ac:dyDescent="0.3">
      <c r="A9" s="17" t="s">
        <v>187</v>
      </c>
      <c r="B9" s="1">
        <v>806</v>
      </c>
    </row>
    <row r="10" spans="1:38" x14ac:dyDescent="0.3">
      <c r="A10" s="17" t="s">
        <v>516</v>
      </c>
      <c r="B10" s="1">
        <v>850</v>
      </c>
    </row>
    <row r="11" spans="1:38" x14ac:dyDescent="0.3">
      <c r="A11" s="17" t="s">
        <v>262</v>
      </c>
      <c r="B11" s="1">
        <v>733</v>
      </c>
    </row>
    <row r="12" spans="1:38" x14ac:dyDescent="0.3">
      <c r="A12" s="17" t="s">
        <v>525</v>
      </c>
      <c r="B12" s="1">
        <v>977</v>
      </c>
    </row>
  </sheetData>
  <dataValidations count="1">
    <dataValidation type="list" allowBlank="1" showInputMessage="1" showErrorMessage="1" sqref="D2:D3" xr:uid="{B406727E-C520-4863-8273-F1D5535F5A53}">
      <formula1>$A$2:$A$12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ADBA8-8BD6-4D54-A4D1-15210F97F5A9}">
  <dimension ref="D1:J71"/>
  <sheetViews>
    <sheetView showGridLines="0" topLeftCell="D1" zoomScale="153" workbookViewId="0">
      <selection activeCell="I9" sqref="I9"/>
    </sheetView>
  </sheetViews>
  <sheetFormatPr defaultRowHeight="14.4" x14ac:dyDescent="0.3"/>
  <cols>
    <col min="7" max="7" width="5.5546875" customWidth="1"/>
    <col min="8" max="8" width="11.77734375" customWidth="1"/>
    <col min="10" max="10" width="13.5546875" customWidth="1"/>
  </cols>
  <sheetData>
    <row r="1" spans="4:10" x14ac:dyDescent="0.3">
      <c r="D1" s="154" t="s">
        <v>527</v>
      </c>
      <c r="E1" s="154"/>
      <c r="F1" s="154"/>
      <c r="H1" s="154" t="s">
        <v>526</v>
      </c>
      <c r="I1" s="154"/>
      <c r="J1" s="154"/>
    </row>
    <row r="2" spans="4:10" x14ac:dyDescent="0.3">
      <c r="E2" s="103">
        <v>42</v>
      </c>
      <c r="I2" s="104"/>
    </row>
    <row r="3" spans="4:10" x14ac:dyDescent="0.3">
      <c r="E3" s="102">
        <v>69</v>
      </c>
      <c r="I3" s="104"/>
    </row>
    <row r="4" spans="4:10" x14ac:dyDescent="0.3">
      <c r="E4" s="102">
        <v>32</v>
      </c>
      <c r="I4" s="104"/>
    </row>
    <row r="5" spans="4:10" x14ac:dyDescent="0.3">
      <c r="E5" s="102">
        <v>48</v>
      </c>
      <c r="I5" s="104"/>
    </row>
    <row r="6" spans="4:10" x14ac:dyDescent="0.3">
      <c r="E6" s="102">
        <v>54</v>
      </c>
      <c r="I6" s="104"/>
    </row>
    <row r="7" spans="4:10" x14ac:dyDescent="0.3">
      <c r="E7" s="102">
        <v>22</v>
      </c>
      <c r="I7" s="104"/>
    </row>
    <row r="8" spans="4:10" x14ac:dyDescent="0.3">
      <c r="E8" s="102">
        <v>68</v>
      </c>
      <c r="I8" s="104"/>
    </row>
    <row r="9" spans="4:10" x14ac:dyDescent="0.3">
      <c r="E9" s="102">
        <v>22</v>
      </c>
      <c r="I9" s="104"/>
    </row>
    <row r="10" spans="4:10" x14ac:dyDescent="0.3">
      <c r="E10" s="102">
        <v>42</v>
      </c>
      <c r="I10" s="104"/>
    </row>
    <row r="11" spans="4:10" x14ac:dyDescent="0.3">
      <c r="E11" s="102">
        <v>55</v>
      </c>
      <c r="I11" s="104"/>
    </row>
    <row r="12" spans="4:10" x14ac:dyDescent="0.3">
      <c r="E12" s="102">
        <v>82</v>
      </c>
      <c r="I12" s="104"/>
    </row>
    <row r="13" spans="4:10" x14ac:dyDescent="0.3">
      <c r="E13" s="102">
        <v>88</v>
      </c>
      <c r="I13" s="104"/>
    </row>
    <row r="14" spans="4:10" x14ac:dyDescent="0.3">
      <c r="E14" s="102">
        <v>47</v>
      </c>
      <c r="I14" s="104"/>
    </row>
    <row r="15" spans="4:10" x14ac:dyDescent="0.3">
      <c r="E15" s="102">
        <v>58</v>
      </c>
      <c r="I15" s="104"/>
    </row>
    <row r="16" spans="4:10" x14ac:dyDescent="0.3">
      <c r="E16" s="102">
        <v>74</v>
      </c>
      <c r="I16" s="104"/>
    </row>
    <row r="17" spans="5:9" x14ac:dyDescent="0.3">
      <c r="E17" s="102">
        <v>80</v>
      </c>
      <c r="I17" s="104"/>
    </row>
    <row r="18" spans="5:9" x14ac:dyDescent="0.3">
      <c r="E18" s="102">
        <v>22</v>
      </c>
      <c r="I18" s="104"/>
    </row>
    <row r="19" spans="5:9" x14ac:dyDescent="0.3">
      <c r="E19" s="102">
        <v>70</v>
      </c>
      <c r="I19" s="104"/>
    </row>
    <row r="20" spans="5:9" x14ac:dyDescent="0.3">
      <c r="E20" s="102">
        <v>33</v>
      </c>
      <c r="I20" s="104"/>
    </row>
    <row r="21" spans="5:9" x14ac:dyDescent="0.3">
      <c r="E21" s="102">
        <v>81</v>
      </c>
      <c r="I21" s="104"/>
    </row>
    <row r="22" spans="5:9" x14ac:dyDescent="0.3">
      <c r="E22" s="102">
        <v>62</v>
      </c>
      <c r="I22" s="104"/>
    </row>
    <row r="23" spans="5:9" x14ac:dyDescent="0.3">
      <c r="E23" s="102">
        <v>100</v>
      </c>
      <c r="I23" s="104"/>
    </row>
    <row r="24" spans="5:9" x14ac:dyDescent="0.3">
      <c r="E24" s="102">
        <v>110</v>
      </c>
      <c r="I24" s="104"/>
    </row>
    <row r="25" spans="5:9" x14ac:dyDescent="0.3">
      <c r="I25" s="104"/>
    </row>
    <row r="26" spans="5:9" x14ac:dyDescent="0.3">
      <c r="I26" s="104"/>
    </row>
    <row r="27" spans="5:9" x14ac:dyDescent="0.3">
      <c r="I27" s="104"/>
    </row>
    <row r="28" spans="5:9" x14ac:dyDescent="0.3">
      <c r="I28" s="104"/>
    </row>
    <row r="29" spans="5:9" x14ac:dyDescent="0.3">
      <c r="I29" s="104"/>
    </row>
    <row r="30" spans="5:9" x14ac:dyDescent="0.3">
      <c r="I30" s="104"/>
    </row>
    <row r="31" spans="5:9" x14ac:dyDescent="0.3">
      <c r="I31" s="104"/>
    </row>
    <row r="32" spans="5:9" x14ac:dyDescent="0.3">
      <c r="I32" s="104"/>
    </row>
    <row r="33" spans="9:9" x14ac:dyDescent="0.3">
      <c r="I33" s="104"/>
    </row>
    <row r="34" spans="9:9" x14ac:dyDescent="0.3">
      <c r="I34" s="104"/>
    </row>
    <row r="35" spans="9:9" x14ac:dyDescent="0.3">
      <c r="I35" s="104"/>
    </row>
    <row r="36" spans="9:9" x14ac:dyDescent="0.3">
      <c r="I36" s="104"/>
    </row>
    <row r="37" spans="9:9" x14ac:dyDescent="0.3">
      <c r="I37" s="104"/>
    </row>
    <row r="38" spans="9:9" x14ac:dyDescent="0.3">
      <c r="I38" s="104"/>
    </row>
    <row r="39" spans="9:9" x14ac:dyDescent="0.3">
      <c r="I39" s="104"/>
    </row>
    <row r="40" spans="9:9" x14ac:dyDescent="0.3">
      <c r="I40" s="104"/>
    </row>
    <row r="41" spans="9:9" x14ac:dyDescent="0.3">
      <c r="I41" s="104"/>
    </row>
    <row r="42" spans="9:9" x14ac:dyDescent="0.3">
      <c r="I42" s="104"/>
    </row>
    <row r="43" spans="9:9" x14ac:dyDescent="0.3">
      <c r="I43" s="104"/>
    </row>
    <row r="44" spans="9:9" x14ac:dyDescent="0.3">
      <c r="I44" s="104"/>
    </row>
    <row r="45" spans="9:9" x14ac:dyDescent="0.3">
      <c r="I45" s="104"/>
    </row>
    <row r="46" spans="9:9" x14ac:dyDescent="0.3">
      <c r="I46" s="104"/>
    </row>
    <row r="47" spans="9:9" x14ac:dyDescent="0.3">
      <c r="I47" s="104"/>
    </row>
    <row r="48" spans="9:9" x14ac:dyDescent="0.3">
      <c r="I48" s="104"/>
    </row>
    <row r="49" spans="9:9" x14ac:dyDescent="0.3">
      <c r="I49" s="104"/>
    </row>
    <row r="50" spans="9:9" x14ac:dyDescent="0.3">
      <c r="I50" s="104"/>
    </row>
    <row r="51" spans="9:9" x14ac:dyDescent="0.3">
      <c r="I51" s="104"/>
    </row>
    <row r="52" spans="9:9" x14ac:dyDescent="0.3">
      <c r="I52" s="104"/>
    </row>
    <row r="53" spans="9:9" x14ac:dyDescent="0.3">
      <c r="I53" s="104"/>
    </row>
    <row r="54" spans="9:9" x14ac:dyDescent="0.3">
      <c r="I54" s="104"/>
    </row>
    <row r="55" spans="9:9" x14ac:dyDescent="0.3">
      <c r="I55" s="104"/>
    </row>
    <row r="56" spans="9:9" x14ac:dyDescent="0.3">
      <c r="I56" s="104"/>
    </row>
    <row r="57" spans="9:9" x14ac:dyDescent="0.3">
      <c r="I57" s="104"/>
    </row>
    <row r="58" spans="9:9" x14ac:dyDescent="0.3">
      <c r="I58" s="104"/>
    </row>
    <row r="59" spans="9:9" x14ac:dyDescent="0.3">
      <c r="I59" s="104"/>
    </row>
    <row r="60" spans="9:9" x14ac:dyDescent="0.3">
      <c r="I60" s="104"/>
    </row>
    <row r="61" spans="9:9" x14ac:dyDescent="0.3">
      <c r="I61" s="104"/>
    </row>
    <row r="62" spans="9:9" x14ac:dyDescent="0.3">
      <c r="I62" s="104"/>
    </row>
    <row r="63" spans="9:9" x14ac:dyDescent="0.3">
      <c r="I63" s="104"/>
    </row>
    <row r="64" spans="9:9" x14ac:dyDescent="0.3">
      <c r="I64" s="104"/>
    </row>
    <row r="65" spans="9:9" x14ac:dyDescent="0.3">
      <c r="I65" s="104"/>
    </row>
    <row r="66" spans="9:9" x14ac:dyDescent="0.3">
      <c r="I66" s="104"/>
    </row>
    <row r="67" spans="9:9" x14ac:dyDescent="0.3">
      <c r="I67" s="104"/>
    </row>
    <row r="68" spans="9:9" x14ac:dyDescent="0.3">
      <c r="I68" s="104"/>
    </row>
    <row r="69" spans="9:9" x14ac:dyDescent="0.3">
      <c r="I69" s="104"/>
    </row>
    <row r="70" spans="9:9" x14ac:dyDescent="0.3">
      <c r="I70" s="104"/>
    </row>
    <row r="71" spans="9:9" x14ac:dyDescent="0.3">
      <c r="I71" s="104"/>
    </row>
  </sheetData>
  <mergeCells count="2">
    <mergeCell ref="H1:J1"/>
    <mergeCell ref="D1:F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2957F-95C6-4226-9B0B-1787B3F20102}">
  <dimension ref="A1:E19"/>
  <sheetViews>
    <sheetView showGridLines="0" zoomScale="190" workbookViewId="0">
      <selection activeCell="C9" sqref="C9"/>
    </sheetView>
  </sheetViews>
  <sheetFormatPr defaultRowHeight="14.4" x14ac:dyDescent="0.3"/>
  <cols>
    <col min="1" max="1" width="21.109375" bestFit="1" customWidth="1"/>
    <col min="3" max="3" width="9.5546875" customWidth="1"/>
    <col min="5" max="5" width="10.109375" customWidth="1"/>
  </cols>
  <sheetData>
    <row r="1" spans="1:5" x14ac:dyDescent="0.3">
      <c r="A1" s="52" t="s">
        <v>214</v>
      </c>
      <c r="C1" s="155" t="s">
        <v>546</v>
      </c>
      <c r="D1" s="155"/>
      <c r="E1" s="155"/>
    </row>
    <row r="2" spans="1:5" ht="16.2" x14ac:dyDescent="0.45">
      <c r="A2" s="105" t="s">
        <v>528</v>
      </c>
      <c r="D2" s="32"/>
    </row>
    <row r="3" spans="1:5" ht="16.2" x14ac:dyDescent="0.45">
      <c r="A3" s="105" t="s">
        <v>529</v>
      </c>
      <c r="D3" s="32"/>
    </row>
    <row r="4" spans="1:5" ht="16.2" x14ac:dyDescent="0.45">
      <c r="A4" s="105" t="s">
        <v>530</v>
      </c>
      <c r="D4" s="32"/>
    </row>
    <row r="5" spans="1:5" ht="16.2" x14ac:dyDescent="0.45">
      <c r="A5" s="105" t="s">
        <v>531</v>
      </c>
      <c r="D5" s="32"/>
    </row>
    <row r="6" spans="1:5" ht="16.2" x14ac:dyDescent="0.45">
      <c r="A6" s="105" t="s">
        <v>532</v>
      </c>
      <c r="D6" s="32"/>
    </row>
    <row r="7" spans="1:5" ht="16.2" x14ac:dyDescent="0.45">
      <c r="A7" s="105" t="s">
        <v>533</v>
      </c>
      <c r="D7" s="32"/>
    </row>
    <row r="8" spans="1:5" ht="16.2" x14ac:dyDescent="0.45">
      <c r="A8" s="105" t="s">
        <v>534</v>
      </c>
      <c r="D8" s="32"/>
    </row>
    <row r="9" spans="1:5" ht="16.2" x14ac:dyDescent="0.45">
      <c r="A9" s="105" t="s">
        <v>535</v>
      </c>
      <c r="D9" s="32"/>
    </row>
    <row r="10" spans="1:5" ht="16.2" x14ac:dyDescent="0.45">
      <c r="A10" s="105" t="s">
        <v>536</v>
      </c>
      <c r="D10" s="32"/>
    </row>
    <row r="11" spans="1:5" ht="16.2" x14ac:dyDescent="0.45">
      <c r="A11" s="105" t="s">
        <v>537</v>
      </c>
      <c r="D11" s="32"/>
    </row>
    <row r="12" spans="1:5" ht="16.2" x14ac:dyDescent="0.45">
      <c r="A12" s="105" t="s">
        <v>538</v>
      </c>
      <c r="D12" s="32"/>
    </row>
    <row r="13" spans="1:5" ht="16.2" x14ac:dyDescent="0.45">
      <c r="A13" s="105" t="s">
        <v>539</v>
      </c>
    </row>
    <row r="14" spans="1:5" ht="16.2" x14ac:dyDescent="0.45">
      <c r="A14" s="105" t="s">
        <v>540</v>
      </c>
    </row>
    <row r="15" spans="1:5" ht="16.2" x14ac:dyDescent="0.45">
      <c r="A15" s="105" t="s">
        <v>541</v>
      </c>
    </row>
    <row r="16" spans="1:5" ht="16.2" x14ac:dyDescent="0.45">
      <c r="A16" s="105" t="s">
        <v>542</v>
      </c>
    </row>
    <row r="17" spans="1:1" ht="16.2" x14ac:dyDescent="0.45">
      <c r="A17" s="105" t="s">
        <v>543</v>
      </c>
    </row>
    <row r="18" spans="1:1" ht="16.2" x14ac:dyDescent="0.45">
      <c r="A18" s="105" t="s">
        <v>544</v>
      </c>
    </row>
    <row r="19" spans="1:1" ht="16.2" x14ac:dyDescent="0.45">
      <c r="A19" s="105" t="s">
        <v>545</v>
      </c>
    </row>
  </sheetData>
  <mergeCells count="1">
    <mergeCell ref="C1:E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9CF68-D001-49D9-929A-575EBF4DAF0A}">
  <dimension ref="A1:AI21"/>
  <sheetViews>
    <sheetView showGridLines="0" zoomScale="147" workbookViewId="0">
      <selection activeCell="E9" sqref="E9"/>
    </sheetView>
  </sheetViews>
  <sheetFormatPr defaultRowHeight="14.4" x14ac:dyDescent="0.3"/>
  <cols>
    <col min="1" max="1" width="7.5546875" bestFit="1" customWidth="1"/>
    <col min="2" max="2" width="14" customWidth="1"/>
    <col min="3" max="3" width="12.109375" customWidth="1"/>
    <col min="4" max="4" width="22.77734375" customWidth="1"/>
    <col min="5" max="5" width="16.77734375" customWidth="1"/>
    <col min="6" max="35" width="5.6640625" bestFit="1" customWidth="1"/>
  </cols>
  <sheetData>
    <row r="1" spans="1:35" x14ac:dyDescent="0.3">
      <c r="A1" s="107" t="s">
        <v>547</v>
      </c>
      <c r="B1" s="107" t="s">
        <v>548</v>
      </c>
      <c r="C1" s="108" t="s">
        <v>549</v>
      </c>
      <c r="E1" s="107" t="s">
        <v>547</v>
      </c>
      <c r="F1" s="109">
        <v>44713</v>
      </c>
      <c r="G1" s="109">
        <v>44714</v>
      </c>
      <c r="H1" s="109">
        <v>44715</v>
      </c>
      <c r="I1" s="109">
        <v>44716</v>
      </c>
      <c r="J1" s="109">
        <v>44717</v>
      </c>
      <c r="K1" s="109">
        <v>44718</v>
      </c>
      <c r="L1" s="109">
        <v>44719</v>
      </c>
      <c r="M1" s="109">
        <v>44720</v>
      </c>
      <c r="N1" s="109">
        <v>44721</v>
      </c>
      <c r="O1" s="109">
        <v>44722</v>
      </c>
      <c r="P1" s="109">
        <v>44723</v>
      </c>
      <c r="Q1" s="109">
        <v>44724</v>
      </c>
      <c r="R1" s="109">
        <v>44725</v>
      </c>
      <c r="S1" s="109">
        <v>44726</v>
      </c>
      <c r="T1" s="109">
        <v>44727</v>
      </c>
      <c r="U1" s="109">
        <v>44728</v>
      </c>
      <c r="V1" s="109">
        <v>44729</v>
      </c>
      <c r="W1" s="109">
        <v>44730</v>
      </c>
      <c r="X1" s="109">
        <v>44731</v>
      </c>
      <c r="Y1" s="109">
        <v>44732</v>
      </c>
      <c r="Z1" s="109">
        <v>44733</v>
      </c>
      <c r="AA1" s="109">
        <v>44734</v>
      </c>
      <c r="AB1" s="109">
        <v>44735</v>
      </c>
      <c r="AC1" s="109">
        <v>44736</v>
      </c>
      <c r="AD1" s="109">
        <v>44737</v>
      </c>
      <c r="AE1" s="109">
        <v>44738</v>
      </c>
      <c r="AF1" s="109">
        <v>44739</v>
      </c>
      <c r="AG1" s="109">
        <v>44740</v>
      </c>
      <c r="AH1" s="109">
        <v>44741</v>
      </c>
      <c r="AI1" s="109">
        <v>44742</v>
      </c>
    </row>
    <row r="2" spans="1:35" x14ac:dyDescent="0.3">
      <c r="A2" s="13" t="s">
        <v>551</v>
      </c>
      <c r="B2" s="106">
        <v>44713</v>
      </c>
      <c r="C2" s="106">
        <v>44716</v>
      </c>
      <c r="E2" s="13" t="s">
        <v>522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x14ac:dyDescent="0.3">
      <c r="A3" s="13" t="s">
        <v>552</v>
      </c>
      <c r="B3" s="106">
        <v>44718</v>
      </c>
      <c r="C3" s="106">
        <v>44734</v>
      </c>
      <c r="D3" s="156" t="s">
        <v>559</v>
      </c>
      <c r="E3" s="13" t="s">
        <v>550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x14ac:dyDescent="0.3">
      <c r="A4" s="13" t="s">
        <v>553</v>
      </c>
      <c r="B4" s="106">
        <v>44721</v>
      </c>
      <c r="C4" s="106">
        <v>44734</v>
      </c>
      <c r="D4" s="156"/>
      <c r="E4" s="13" t="s">
        <v>556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x14ac:dyDescent="0.3">
      <c r="A5" s="13" t="s">
        <v>554</v>
      </c>
      <c r="B5" s="106">
        <v>44713</v>
      </c>
      <c r="C5" s="106">
        <v>44739</v>
      </c>
      <c r="D5" s="156"/>
      <c r="E5" s="13" t="s">
        <v>557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3">
      <c r="A6" s="13" t="s">
        <v>555</v>
      </c>
      <c r="B6" s="106">
        <v>44729</v>
      </c>
      <c r="C6" s="106">
        <v>44733</v>
      </c>
      <c r="E6" s="13" t="s">
        <v>553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x14ac:dyDescent="0.3">
      <c r="A7" s="13" t="s">
        <v>522</v>
      </c>
      <c r="B7" s="106">
        <v>44724</v>
      </c>
      <c r="C7" s="106">
        <v>44734</v>
      </c>
      <c r="E7" s="13" t="s">
        <v>554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3">
      <c r="A8" s="13" t="s">
        <v>550</v>
      </c>
      <c r="B8" s="106">
        <v>44714</v>
      </c>
      <c r="C8" s="106">
        <v>44734</v>
      </c>
      <c r="E8" s="13" t="s">
        <v>555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x14ac:dyDescent="0.3">
      <c r="A9" s="13" t="s">
        <v>556</v>
      </c>
      <c r="B9" s="106">
        <v>44728</v>
      </c>
      <c r="C9" s="106">
        <v>44733</v>
      </c>
      <c r="E9" s="13" t="s">
        <v>551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3">
      <c r="A10" s="13" t="s">
        <v>557</v>
      </c>
      <c r="B10" s="106">
        <v>44741</v>
      </c>
      <c r="C10" s="106">
        <v>44742</v>
      </c>
      <c r="E10" s="13" t="s">
        <v>552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5" thickBot="1" x14ac:dyDescent="0.35"/>
    <row r="12" spans="1:35" x14ac:dyDescent="0.3">
      <c r="D12" s="107" t="s">
        <v>548</v>
      </c>
      <c r="E12" s="108" t="s">
        <v>549</v>
      </c>
      <c r="F12" s="109">
        <v>44713</v>
      </c>
      <c r="G12" s="109">
        <v>44714</v>
      </c>
      <c r="H12" s="109">
        <v>44715</v>
      </c>
      <c r="I12" s="109">
        <v>44716</v>
      </c>
      <c r="J12" s="109">
        <v>44717</v>
      </c>
      <c r="K12" s="109">
        <v>44718</v>
      </c>
      <c r="L12" s="109">
        <v>44719</v>
      </c>
      <c r="M12" s="109">
        <v>44720</v>
      </c>
      <c r="N12" s="109">
        <v>44721</v>
      </c>
      <c r="O12" s="109">
        <v>44722</v>
      </c>
      <c r="P12" s="109">
        <v>44723</v>
      </c>
      <c r="Q12" s="109">
        <v>44724</v>
      </c>
      <c r="R12" s="109">
        <v>44725</v>
      </c>
      <c r="S12" s="109">
        <v>44726</v>
      </c>
      <c r="T12" s="109">
        <v>44727</v>
      </c>
      <c r="U12" s="109">
        <v>44728</v>
      </c>
      <c r="V12" s="109">
        <v>44729</v>
      </c>
      <c r="W12" s="109">
        <v>44730</v>
      </c>
      <c r="X12" s="109">
        <v>44731</v>
      </c>
      <c r="Y12" s="109">
        <v>44732</v>
      </c>
      <c r="Z12" s="109">
        <v>44733</v>
      </c>
      <c r="AA12" s="109">
        <v>44734</v>
      </c>
      <c r="AB12" s="109">
        <v>44735</v>
      </c>
      <c r="AC12" s="109">
        <v>44736</v>
      </c>
      <c r="AD12" s="109">
        <v>44737</v>
      </c>
      <c r="AE12" s="109">
        <v>44738</v>
      </c>
      <c r="AF12" s="109">
        <v>44739</v>
      </c>
      <c r="AG12" s="109">
        <v>44740</v>
      </c>
      <c r="AH12" s="109">
        <v>44741</v>
      </c>
      <c r="AI12" s="109">
        <v>44742</v>
      </c>
    </row>
    <row r="13" spans="1:35" x14ac:dyDescent="0.3">
      <c r="A13" s="157" t="s">
        <v>558</v>
      </c>
      <c r="B13" s="157"/>
      <c r="C13" s="158"/>
      <c r="D13" s="106">
        <v>44713</v>
      </c>
      <c r="E13" s="106">
        <v>44716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x14ac:dyDescent="0.3">
      <c r="A14" s="157"/>
      <c r="B14" s="157"/>
      <c r="C14" s="158"/>
      <c r="D14" s="106">
        <v>44718</v>
      </c>
      <c r="E14" s="106">
        <v>44734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x14ac:dyDescent="0.3">
      <c r="A15" s="157"/>
      <c r="B15" s="157"/>
      <c r="C15" s="158"/>
      <c r="D15" s="106">
        <v>44721</v>
      </c>
      <c r="E15" s="106">
        <v>44734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x14ac:dyDescent="0.3">
      <c r="D16" s="106">
        <v>44713</v>
      </c>
      <c r="E16" s="106">
        <v>44739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4:35" x14ac:dyDescent="0.3">
      <c r="D17" s="106">
        <v>44729</v>
      </c>
      <c r="E17" s="106">
        <v>44733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4:35" x14ac:dyDescent="0.3">
      <c r="D18" s="106">
        <v>44724</v>
      </c>
      <c r="E18" s="106">
        <v>44734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4:35" x14ac:dyDescent="0.3">
      <c r="D19" s="106">
        <v>44714</v>
      </c>
      <c r="E19" s="106">
        <v>44734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4:35" x14ac:dyDescent="0.3">
      <c r="D20" s="106">
        <v>44728</v>
      </c>
      <c r="E20" s="106">
        <v>44733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4:35" x14ac:dyDescent="0.3">
      <c r="D21" s="106">
        <v>44741</v>
      </c>
      <c r="E21" s="106">
        <v>44742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</sheetData>
  <mergeCells count="2">
    <mergeCell ref="D3:D5"/>
    <mergeCell ref="A13:C1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83E2-74DE-45AD-AB61-6393CF745F8C}">
  <dimension ref="A1:O38"/>
  <sheetViews>
    <sheetView showGridLines="0" zoomScale="147" workbookViewId="0">
      <selection activeCell="C14" sqref="C14"/>
    </sheetView>
  </sheetViews>
  <sheetFormatPr defaultRowHeight="14.4" x14ac:dyDescent="0.3"/>
  <cols>
    <col min="1" max="1" width="28.44140625" customWidth="1"/>
    <col min="2" max="2" width="6.77734375" bestFit="1" customWidth="1"/>
    <col min="3" max="3" width="11.109375" bestFit="1" customWidth="1"/>
    <col min="4" max="4" width="9.77734375" bestFit="1" customWidth="1"/>
    <col min="5" max="5" width="4.77734375" bestFit="1" customWidth="1"/>
    <col min="6" max="6" width="28.77734375" customWidth="1"/>
    <col min="7" max="7" width="6.77734375" bestFit="1" customWidth="1"/>
    <col min="8" max="8" width="11.109375" bestFit="1" customWidth="1"/>
    <col min="9" max="9" width="9.77734375" bestFit="1" customWidth="1"/>
    <col min="10" max="10" width="5.44140625" bestFit="1" customWidth="1"/>
    <col min="11" max="11" width="30.6640625" customWidth="1"/>
    <col min="12" max="12" width="6.77734375" bestFit="1" customWidth="1"/>
    <col min="13" max="13" width="11.109375" bestFit="1" customWidth="1"/>
    <col min="14" max="14" width="9.77734375" bestFit="1" customWidth="1"/>
    <col min="15" max="15" width="5.44140625" bestFit="1" customWidth="1"/>
  </cols>
  <sheetData>
    <row r="1" spans="1:15" x14ac:dyDescent="0.3">
      <c r="B1" s="110" t="s">
        <v>562</v>
      </c>
      <c r="C1" s="110" t="s">
        <v>563</v>
      </c>
      <c r="D1" s="111">
        <v>44607</v>
      </c>
      <c r="E1" s="112">
        <v>2819</v>
      </c>
      <c r="G1" s="110" t="s">
        <v>562</v>
      </c>
      <c r="H1" s="110" t="s">
        <v>563</v>
      </c>
      <c r="I1" s="111">
        <v>44607</v>
      </c>
      <c r="J1" s="112">
        <v>2819</v>
      </c>
      <c r="L1" s="110" t="s">
        <v>562</v>
      </c>
      <c r="M1" s="110" t="s">
        <v>563</v>
      </c>
      <c r="N1" s="111">
        <v>44607</v>
      </c>
      <c r="O1" s="112">
        <v>2819</v>
      </c>
    </row>
    <row r="2" spans="1:15" x14ac:dyDescent="0.3">
      <c r="A2" s="4" t="s">
        <v>462</v>
      </c>
      <c r="B2" s="110" t="s">
        <v>564</v>
      </c>
      <c r="C2" s="110" t="s">
        <v>565</v>
      </c>
      <c r="D2" s="111">
        <v>44278</v>
      </c>
      <c r="E2" s="112">
        <v>3878</v>
      </c>
      <c r="F2" s="7" t="s">
        <v>560</v>
      </c>
      <c r="G2" s="110" t="s">
        <v>564</v>
      </c>
      <c r="H2" s="110" t="s">
        <v>565</v>
      </c>
      <c r="I2" s="111">
        <v>44278</v>
      </c>
      <c r="J2" s="112">
        <v>3878</v>
      </c>
      <c r="K2" s="116" t="s">
        <v>561</v>
      </c>
      <c r="L2" s="110" t="s">
        <v>564</v>
      </c>
      <c r="M2" s="110" t="s">
        <v>565</v>
      </c>
      <c r="N2" s="111">
        <v>44278</v>
      </c>
      <c r="O2" s="112">
        <v>3878</v>
      </c>
    </row>
    <row r="3" spans="1:15" x14ac:dyDescent="0.3">
      <c r="A3" s="72" t="s">
        <v>509</v>
      </c>
      <c r="B3" s="110" t="s">
        <v>566</v>
      </c>
      <c r="C3" s="110" t="s">
        <v>307</v>
      </c>
      <c r="D3" s="111">
        <v>44568</v>
      </c>
      <c r="E3" s="112">
        <v>1249</v>
      </c>
      <c r="F3" s="98" t="s">
        <v>566</v>
      </c>
      <c r="G3" s="110" t="s">
        <v>566</v>
      </c>
      <c r="H3" s="110" t="s">
        <v>307</v>
      </c>
      <c r="I3" s="111">
        <v>44568</v>
      </c>
      <c r="J3" s="112">
        <v>1249</v>
      </c>
      <c r="K3" s="117" t="s">
        <v>307</v>
      </c>
      <c r="L3" s="110" t="s">
        <v>566</v>
      </c>
      <c r="M3" s="110" t="s">
        <v>307</v>
      </c>
      <c r="N3" s="111">
        <v>44568</v>
      </c>
      <c r="O3" s="112">
        <v>1249</v>
      </c>
    </row>
    <row r="4" spans="1:15" x14ac:dyDescent="0.3">
      <c r="B4" s="110" t="s">
        <v>567</v>
      </c>
      <c r="C4" s="110" t="s">
        <v>307</v>
      </c>
      <c r="D4" s="111">
        <v>44418</v>
      </c>
      <c r="E4" s="112">
        <v>2580</v>
      </c>
      <c r="G4" s="110" t="s">
        <v>567</v>
      </c>
      <c r="H4" s="110" t="s">
        <v>307</v>
      </c>
      <c r="I4" s="111">
        <v>44418</v>
      </c>
      <c r="J4" s="112">
        <v>-2580</v>
      </c>
      <c r="L4" s="110" t="s">
        <v>567</v>
      </c>
      <c r="M4" s="110" t="s">
        <v>307</v>
      </c>
      <c r="N4" s="111">
        <v>44418</v>
      </c>
      <c r="O4" s="112">
        <v>-2580</v>
      </c>
    </row>
    <row r="5" spans="1:15" x14ac:dyDescent="0.3">
      <c r="B5" s="110" t="s">
        <v>562</v>
      </c>
      <c r="C5" s="110" t="s">
        <v>307</v>
      </c>
      <c r="D5" s="111">
        <v>44543</v>
      </c>
      <c r="E5" s="112">
        <v>2743</v>
      </c>
      <c r="G5" s="110" t="s">
        <v>562</v>
      </c>
      <c r="H5" s="110" t="s">
        <v>307</v>
      </c>
      <c r="I5" s="111">
        <v>44543</v>
      </c>
      <c r="J5" s="112">
        <v>2743</v>
      </c>
      <c r="L5" s="110" t="s">
        <v>562</v>
      </c>
      <c r="M5" s="110" t="s">
        <v>307</v>
      </c>
      <c r="N5" s="111">
        <v>44543</v>
      </c>
      <c r="O5" s="112">
        <v>2743</v>
      </c>
    </row>
    <row r="6" spans="1:15" x14ac:dyDescent="0.3">
      <c r="B6" s="110" t="s">
        <v>564</v>
      </c>
      <c r="C6" s="110" t="s">
        <v>307</v>
      </c>
      <c r="D6" s="111">
        <v>44531</v>
      </c>
      <c r="E6" s="112">
        <v>1329</v>
      </c>
      <c r="G6" s="110" t="s">
        <v>564</v>
      </c>
      <c r="H6" s="110" t="s">
        <v>307</v>
      </c>
      <c r="I6" s="111">
        <v>44531</v>
      </c>
      <c r="J6" s="112">
        <v>1329</v>
      </c>
      <c r="L6" s="110" t="s">
        <v>564</v>
      </c>
      <c r="M6" s="110" t="s">
        <v>307</v>
      </c>
      <c r="N6" s="111">
        <v>44531</v>
      </c>
      <c r="O6" s="112">
        <v>1329</v>
      </c>
    </row>
    <row r="7" spans="1:15" x14ac:dyDescent="0.3">
      <c r="B7" s="110" t="s">
        <v>564</v>
      </c>
      <c r="C7" s="110" t="s">
        <v>568</v>
      </c>
      <c r="D7" s="111">
        <v>44475</v>
      </c>
      <c r="E7" s="112">
        <v>2331</v>
      </c>
      <c r="G7" s="110" t="s">
        <v>564</v>
      </c>
      <c r="H7" s="110" t="s">
        <v>568</v>
      </c>
      <c r="I7" s="111">
        <v>44475</v>
      </c>
      <c r="J7" s="112">
        <v>2331</v>
      </c>
      <c r="L7" s="110" t="s">
        <v>564</v>
      </c>
      <c r="M7" s="110" t="s">
        <v>568</v>
      </c>
      <c r="N7" s="111">
        <v>44475</v>
      </c>
      <c r="O7" s="112">
        <v>2331</v>
      </c>
    </row>
    <row r="8" spans="1:15" x14ac:dyDescent="0.3">
      <c r="B8" s="110" t="s">
        <v>564</v>
      </c>
      <c r="C8" s="110" t="s">
        <v>307</v>
      </c>
      <c r="D8" s="111">
        <v>44432</v>
      </c>
      <c r="E8" s="112">
        <v>3368</v>
      </c>
      <c r="G8" s="110" t="s">
        <v>564</v>
      </c>
      <c r="H8" s="110" t="s">
        <v>307</v>
      </c>
      <c r="I8" s="111">
        <v>44432</v>
      </c>
      <c r="J8" s="112">
        <v>3368</v>
      </c>
      <c r="L8" s="110" t="s">
        <v>564</v>
      </c>
      <c r="M8" s="110" t="s">
        <v>307</v>
      </c>
      <c r="N8" s="111">
        <v>44432</v>
      </c>
      <c r="O8" s="112">
        <v>3368</v>
      </c>
    </row>
    <row r="9" spans="1:15" x14ac:dyDescent="0.3">
      <c r="B9" s="110" t="s">
        <v>564</v>
      </c>
      <c r="C9" s="110" t="s">
        <v>565</v>
      </c>
      <c r="D9" s="111">
        <v>44679</v>
      </c>
      <c r="E9" s="112">
        <v>1900</v>
      </c>
      <c r="G9" s="110" t="s">
        <v>564</v>
      </c>
      <c r="H9" s="110" t="s">
        <v>565</v>
      </c>
      <c r="I9" s="111">
        <v>44679</v>
      </c>
      <c r="J9" s="112">
        <v>1900</v>
      </c>
      <c r="L9" s="110" t="s">
        <v>564</v>
      </c>
      <c r="M9" s="110" t="s">
        <v>565</v>
      </c>
      <c r="N9" s="111">
        <v>44679</v>
      </c>
      <c r="O9" s="112">
        <v>1900</v>
      </c>
    </row>
    <row r="10" spans="1:15" x14ac:dyDescent="0.3">
      <c r="B10" s="110" t="s">
        <v>566</v>
      </c>
      <c r="C10" s="110" t="s">
        <v>307</v>
      </c>
      <c r="D10" s="111">
        <v>44277</v>
      </c>
      <c r="E10" s="112">
        <v>4846</v>
      </c>
      <c r="G10" s="110" t="s">
        <v>566</v>
      </c>
      <c r="H10" s="110" t="s">
        <v>307</v>
      </c>
      <c r="I10" s="111">
        <v>44277</v>
      </c>
      <c r="J10" s="112">
        <v>4846</v>
      </c>
      <c r="L10" s="110" t="s">
        <v>566</v>
      </c>
      <c r="M10" s="110" t="s">
        <v>307</v>
      </c>
      <c r="N10" s="111">
        <v>44277</v>
      </c>
      <c r="O10" s="112">
        <v>4846</v>
      </c>
    </row>
    <row r="11" spans="1:15" x14ac:dyDescent="0.3">
      <c r="B11" s="110" t="s">
        <v>562</v>
      </c>
      <c r="C11" s="110" t="s">
        <v>568</v>
      </c>
      <c r="D11" s="111">
        <v>44503</v>
      </c>
      <c r="E11" s="112">
        <v>2811</v>
      </c>
      <c r="G11" s="110" t="s">
        <v>562</v>
      </c>
      <c r="H11" s="110" t="s">
        <v>568</v>
      </c>
      <c r="I11" s="111">
        <v>44503</v>
      </c>
      <c r="J11" s="112">
        <v>2811</v>
      </c>
      <c r="L11" s="110" t="s">
        <v>562</v>
      </c>
      <c r="M11" s="110" t="s">
        <v>568</v>
      </c>
      <c r="N11" s="111">
        <v>44503</v>
      </c>
      <c r="O11" s="112">
        <v>2811</v>
      </c>
    </row>
    <row r="12" spans="1:15" x14ac:dyDescent="0.3">
      <c r="B12" s="110" t="s">
        <v>562</v>
      </c>
      <c r="C12" s="110" t="s">
        <v>565</v>
      </c>
      <c r="D12" s="111">
        <v>44658</v>
      </c>
      <c r="E12" s="112">
        <v>3792</v>
      </c>
      <c r="G12" s="110" t="s">
        <v>562</v>
      </c>
      <c r="H12" s="110" t="s">
        <v>565</v>
      </c>
      <c r="I12" s="111">
        <v>44658</v>
      </c>
      <c r="J12" s="112">
        <v>3792</v>
      </c>
      <c r="L12" s="110" t="s">
        <v>562</v>
      </c>
      <c r="M12" s="110" t="s">
        <v>565</v>
      </c>
      <c r="N12" s="111">
        <v>44658</v>
      </c>
      <c r="O12" s="112">
        <v>3792</v>
      </c>
    </row>
    <row r="13" spans="1:15" x14ac:dyDescent="0.3">
      <c r="B13" s="110" t="s">
        <v>566</v>
      </c>
      <c r="C13" s="110" t="s">
        <v>307</v>
      </c>
      <c r="D13" s="111">
        <v>44393</v>
      </c>
      <c r="E13" s="112">
        <v>4477</v>
      </c>
      <c r="G13" s="110" t="s">
        <v>566</v>
      </c>
      <c r="H13" s="110" t="s">
        <v>307</v>
      </c>
      <c r="I13" s="111">
        <v>44393</v>
      </c>
      <c r="J13" s="112">
        <v>4477</v>
      </c>
      <c r="L13" s="110" t="s">
        <v>566</v>
      </c>
      <c r="M13" s="110" t="s">
        <v>307</v>
      </c>
      <c r="N13" s="111">
        <v>44393</v>
      </c>
      <c r="O13" s="112">
        <v>4477</v>
      </c>
    </row>
    <row r="14" spans="1:15" x14ac:dyDescent="0.3">
      <c r="B14" s="110" t="s">
        <v>566</v>
      </c>
      <c r="C14" s="110" t="s">
        <v>568</v>
      </c>
      <c r="D14" s="111">
        <v>44353</v>
      </c>
      <c r="E14" s="112">
        <v>4346</v>
      </c>
      <c r="G14" s="110" t="s">
        <v>566</v>
      </c>
      <c r="H14" s="110" t="s">
        <v>568</v>
      </c>
      <c r="I14" s="111">
        <v>44353</v>
      </c>
      <c r="J14" s="112">
        <v>4346</v>
      </c>
      <c r="L14" s="110" t="s">
        <v>566</v>
      </c>
      <c r="M14" s="110" t="s">
        <v>568</v>
      </c>
      <c r="N14" s="111">
        <v>44353</v>
      </c>
      <c r="O14" s="112">
        <v>4346</v>
      </c>
    </row>
    <row r="15" spans="1:15" x14ac:dyDescent="0.3">
      <c r="B15" s="110" t="s">
        <v>564</v>
      </c>
      <c r="C15" s="110" t="s">
        <v>568</v>
      </c>
      <c r="D15" s="111">
        <v>44265</v>
      </c>
      <c r="E15" s="112">
        <v>1321</v>
      </c>
      <c r="G15" s="110" t="s">
        <v>564</v>
      </c>
      <c r="H15" s="110" t="s">
        <v>568</v>
      </c>
      <c r="I15" s="111">
        <v>44265</v>
      </c>
      <c r="J15" s="112">
        <v>1321</v>
      </c>
      <c r="L15" s="110" t="s">
        <v>564</v>
      </c>
      <c r="M15" s="110" t="s">
        <v>568</v>
      </c>
      <c r="N15" s="111">
        <v>44265</v>
      </c>
      <c r="O15" s="112">
        <v>1321</v>
      </c>
    </row>
    <row r="16" spans="1:15" x14ac:dyDescent="0.3">
      <c r="B16" s="110" t="s">
        <v>567</v>
      </c>
      <c r="C16" s="110" t="s">
        <v>568</v>
      </c>
      <c r="D16" s="111">
        <v>44660</v>
      </c>
      <c r="E16" s="112">
        <v>3072</v>
      </c>
      <c r="G16" s="110" t="s">
        <v>567</v>
      </c>
      <c r="H16" s="110" t="s">
        <v>568</v>
      </c>
      <c r="I16" s="111">
        <v>44660</v>
      </c>
      <c r="J16" s="112">
        <v>3072</v>
      </c>
      <c r="L16" s="110" t="s">
        <v>567</v>
      </c>
      <c r="M16" s="110" t="s">
        <v>568</v>
      </c>
      <c r="N16" s="111">
        <v>44660</v>
      </c>
      <c r="O16" s="112">
        <v>3072</v>
      </c>
    </row>
    <row r="17" spans="2:15" x14ac:dyDescent="0.3">
      <c r="B17" s="110" t="s">
        <v>562</v>
      </c>
      <c r="C17" s="110" t="s">
        <v>563</v>
      </c>
      <c r="D17" s="111">
        <v>44479</v>
      </c>
      <c r="E17" s="112">
        <v>3011</v>
      </c>
      <c r="G17" s="110" t="s">
        <v>562</v>
      </c>
      <c r="H17" s="110" t="s">
        <v>563</v>
      </c>
      <c r="I17" s="111">
        <v>44479</v>
      </c>
      <c r="J17" s="112">
        <v>3011</v>
      </c>
      <c r="L17" s="110" t="s">
        <v>562</v>
      </c>
      <c r="M17" s="110" t="s">
        <v>563</v>
      </c>
      <c r="N17" s="111">
        <v>44479</v>
      </c>
      <c r="O17" s="112">
        <v>3011</v>
      </c>
    </row>
    <row r="18" spans="2:15" x14ac:dyDescent="0.3">
      <c r="B18" s="110" t="s">
        <v>566</v>
      </c>
      <c r="C18" s="110" t="s">
        <v>565</v>
      </c>
      <c r="D18" s="111">
        <v>44747</v>
      </c>
      <c r="E18" s="112">
        <v>2950</v>
      </c>
      <c r="G18" s="110" t="s">
        <v>566</v>
      </c>
      <c r="H18" s="110" t="s">
        <v>565</v>
      </c>
      <c r="I18" s="111">
        <v>44747</v>
      </c>
      <c r="J18" s="112">
        <v>2950</v>
      </c>
      <c r="L18" s="110" t="s">
        <v>566</v>
      </c>
      <c r="M18" s="110" t="s">
        <v>565</v>
      </c>
      <c r="N18" s="111">
        <v>44747</v>
      </c>
      <c r="O18" s="112">
        <v>2950</v>
      </c>
    </row>
    <row r="19" spans="2:15" x14ac:dyDescent="0.3">
      <c r="B19" s="110" t="s">
        <v>562</v>
      </c>
      <c r="C19" s="110" t="s">
        <v>563</v>
      </c>
      <c r="D19" s="111">
        <v>44715</v>
      </c>
      <c r="E19" s="112">
        <v>1682</v>
      </c>
      <c r="G19" s="110" t="s">
        <v>562</v>
      </c>
      <c r="H19" s="110" t="s">
        <v>563</v>
      </c>
      <c r="I19" s="111">
        <v>44715</v>
      </c>
      <c r="J19" s="112">
        <v>1682</v>
      </c>
      <c r="L19" s="110" t="s">
        <v>562</v>
      </c>
      <c r="M19" s="110" t="s">
        <v>563</v>
      </c>
      <c r="N19" s="111">
        <v>44715</v>
      </c>
      <c r="O19" s="112">
        <v>1682</v>
      </c>
    </row>
    <row r="20" spans="2:15" x14ac:dyDescent="0.3">
      <c r="B20" s="110" t="s">
        <v>562</v>
      </c>
      <c r="C20" s="110" t="s">
        <v>565</v>
      </c>
      <c r="D20" s="111">
        <v>44401</v>
      </c>
      <c r="E20" s="112">
        <v>1640</v>
      </c>
      <c r="G20" s="110" t="s">
        <v>562</v>
      </c>
      <c r="H20" s="110" t="s">
        <v>565</v>
      </c>
      <c r="I20" s="111">
        <v>44401</v>
      </c>
      <c r="J20" s="112">
        <v>1640</v>
      </c>
      <c r="L20" s="110" t="s">
        <v>562</v>
      </c>
      <c r="M20" s="110" t="s">
        <v>565</v>
      </c>
      <c r="N20" s="111">
        <v>44401</v>
      </c>
      <c r="O20" s="112">
        <v>1640</v>
      </c>
    </row>
    <row r="21" spans="2:15" x14ac:dyDescent="0.3">
      <c r="B21" s="110" t="s">
        <v>562</v>
      </c>
      <c r="C21" s="110" t="s">
        <v>307</v>
      </c>
      <c r="D21" s="111">
        <v>44277</v>
      </c>
      <c r="E21" s="112">
        <v>2063</v>
      </c>
      <c r="G21" s="110" t="s">
        <v>562</v>
      </c>
      <c r="H21" s="110" t="s">
        <v>307</v>
      </c>
      <c r="I21" s="111">
        <v>44277</v>
      </c>
      <c r="J21" s="112">
        <v>2063</v>
      </c>
      <c r="L21" s="110" t="s">
        <v>562</v>
      </c>
      <c r="M21" s="110" t="s">
        <v>307</v>
      </c>
      <c r="N21" s="111">
        <v>44277</v>
      </c>
      <c r="O21" s="112">
        <v>2063</v>
      </c>
    </row>
    <row r="22" spans="2:15" x14ac:dyDescent="0.3">
      <c r="B22" s="110" t="s">
        <v>567</v>
      </c>
      <c r="C22" s="110" t="s">
        <v>568</v>
      </c>
      <c r="D22" s="111">
        <v>44708</v>
      </c>
      <c r="E22" s="112">
        <v>3033</v>
      </c>
      <c r="G22" s="110" t="s">
        <v>567</v>
      </c>
      <c r="H22" s="110" t="s">
        <v>568</v>
      </c>
      <c r="I22" s="111">
        <v>44708</v>
      </c>
      <c r="J22" s="112">
        <v>3033</v>
      </c>
      <c r="L22" s="110" t="s">
        <v>567</v>
      </c>
      <c r="M22" s="110" t="s">
        <v>568</v>
      </c>
      <c r="N22" s="111">
        <v>44708</v>
      </c>
      <c r="O22" s="112">
        <v>3033</v>
      </c>
    </row>
    <row r="23" spans="2:15" x14ac:dyDescent="0.3">
      <c r="B23" s="110" t="s">
        <v>566</v>
      </c>
      <c r="C23" s="110" t="s">
        <v>568</v>
      </c>
      <c r="D23" s="111">
        <v>44457</v>
      </c>
      <c r="E23" s="112">
        <v>4722</v>
      </c>
      <c r="G23" s="110" t="s">
        <v>566</v>
      </c>
      <c r="H23" s="110" t="s">
        <v>568</v>
      </c>
      <c r="I23" s="111">
        <v>44457</v>
      </c>
      <c r="J23" s="112">
        <v>4722</v>
      </c>
      <c r="L23" s="110" t="s">
        <v>566</v>
      </c>
      <c r="M23" s="110" t="s">
        <v>568</v>
      </c>
      <c r="N23" s="111">
        <v>44457</v>
      </c>
      <c r="O23" s="112">
        <v>4722</v>
      </c>
    </row>
    <row r="24" spans="2:15" x14ac:dyDescent="0.3">
      <c r="B24" s="110" t="s">
        <v>566</v>
      </c>
      <c r="C24" s="110" t="s">
        <v>563</v>
      </c>
      <c r="D24" s="111">
        <v>44515</v>
      </c>
      <c r="E24" s="112">
        <v>2124</v>
      </c>
      <c r="G24" s="110" t="s">
        <v>566</v>
      </c>
      <c r="H24" s="110" t="s">
        <v>563</v>
      </c>
      <c r="I24" s="111">
        <v>44515</v>
      </c>
      <c r="J24" s="112">
        <v>2124</v>
      </c>
      <c r="L24" s="110" t="s">
        <v>566</v>
      </c>
      <c r="M24" s="110" t="s">
        <v>563</v>
      </c>
      <c r="N24" s="111">
        <v>44515</v>
      </c>
      <c r="O24" s="112">
        <v>2124</v>
      </c>
    </row>
    <row r="25" spans="2:15" x14ac:dyDescent="0.3">
      <c r="B25" s="110" t="s">
        <v>566</v>
      </c>
      <c r="C25" s="110" t="s">
        <v>307</v>
      </c>
      <c r="D25" s="111">
        <v>44504</v>
      </c>
      <c r="E25" s="112">
        <v>2711</v>
      </c>
      <c r="G25" s="110" t="s">
        <v>566</v>
      </c>
      <c r="H25" s="110" t="s">
        <v>307</v>
      </c>
      <c r="I25" s="111">
        <v>44504</v>
      </c>
      <c r="J25" s="112">
        <v>2711</v>
      </c>
      <c r="L25" s="110" t="s">
        <v>566</v>
      </c>
      <c r="M25" s="110" t="s">
        <v>307</v>
      </c>
      <c r="N25" s="111">
        <v>44504</v>
      </c>
      <c r="O25" s="112">
        <v>2711</v>
      </c>
    </row>
    <row r="26" spans="2:15" x14ac:dyDescent="0.3">
      <c r="B26" s="110" t="s">
        <v>562</v>
      </c>
      <c r="C26" s="110" t="s">
        <v>563</v>
      </c>
      <c r="D26" s="111">
        <v>44306</v>
      </c>
      <c r="E26" s="112">
        <v>2905</v>
      </c>
      <c r="G26" s="110" t="s">
        <v>562</v>
      </c>
      <c r="H26" s="110" t="s">
        <v>563</v>
      </c>
      <c r="I26" s="111">
        <v>44306</v>
      </c>
      <c r="J26" s="112">
        <v>2905</v>
      </c>
      <c r="L26" s="110" t="s">
        <v>562</v>
      </c>
      <c r="M26" s="110" t="s">
        <v>563</v>
      </c>
      <c r="N26" s="111">
        <v>44306</v>
      </c>
      <c r="O26" s="112">
        <v>2905</v>
      </c>
    </row>
    <row r="27" spans="2:15" x14ac:dyDescent="0.3">
      <c r="B27" s="110" t="s">
        <v>567</v>
      </c>
      <c r="C27" s="110" t="s">
        <v>568</v>
      </c>
      <c r="D27" s="111">
        <v>44484</v>
      </c>
      <c r="E27" s="112">
        <v>1606</v>
      </c>
      <c r="G27" s="110" t="s">
        <v>567</v>
      </c>
      <c r="H27" s="110" t="s">
        <v>568</v>
      </c>
      <c r="I27" s="111">
        <v>44484</v>
      </c>
      <c r="J27" s="112">
        <v>1606</v>
      </c>
      <c r="L27" s="110" t="s">
        <v>567</v>
      </c>
      <c r="M27" s="110" t="s">
        <v>568</v>
      </c>
      <c r="N27" s="111">
        <v>44484</v>
      </c>
      <c r="O27" s="112">
        <v>1606</v>
      </c>
    </row>
    <row r="28" spans="2:15" x14ac:dyDescent="0.3">
      <c r="B28" s="110" t="s">
        <v>564</v>
      </c>
      <c r="C28" s="110" t="s">
        <v>565</v>
      </c>
      <c r="D28" s="111">
        <v>44262</v>
      </c>
      <c r="E28" s="112">
        <v>1761</v>
      </c>
      <c r="G28" s="110" t="s">
        <v>564</v>
      </c>
      <c r="H28" s="110" t="s">
        <v>565</v>
      </c>
      <c r="I28" s="111">
        <v>44262</v>
      </c>
      <c r="J28" s="112">
        <v>1761</v>
      </c>
      <c r="L28" s="110" t="s">
        <v>564</v>
      </c>
      <c r="M28" s="110" t="s">
        <v>565</v>
      </c>
      <c r="N28" s="111">
        <v>44262</v>
      </c>
      <c r="O28" s="112">
        <v>1761</v>
      </c>
    </row>
    <row r="29" spans="2:15" x14ac:dyDescent="0.3">
      <c r="B29" s="110" t="s">
        <v>567</v>
      </c>
      <c r="C29" s="110" t="s">
        <v>563</v>
      </c>
      <c r="D29" s="111">
        <v>44700</v>
      </c>
      <c r="E29" s="112">
        <v>1693</v>
      </c>
      <c r="G29" s="110" t="s">
        <v>567</v>
      </c>
      <c r="H29" s="110" t="s">
        <v>563</v>
      </c>
      <c r="I29" s="111">
        <v>44700</v>
      </c>
      <c r="J29" s="112">
        <v>1693</v>
      </c>
      <c r="L29" s="110" t="s">
        <v>567</v>
      </c>
      <c r="M29" s="110" t="s">
        <v>563</v>
      </c>
      <c r="N29" s="111">
        <v>44700</v>
      </c>
      <c r="O29" s="112">
        <v>1693</v>
      </c>
    </row>
    <row r="30" spans="2:15" x14ac:dyDescent="0.3">
      <c r="B30" s="110" t="s">
        <v>564</v>
      </c>
      <c r="C30" s="110" t="s">
        <v>307</v>
      </c>
      <c r="D30" s="111">
        <v>44718</v>
      </c>
      <c r="E30" s="112">
        <v>2376</v>
      </c>
      <c r="G30" s="110" t="s">
        <v>564</v>
      </c>
      <c r="H30" s="110" t="s">
        <v>307</v>
      </c>
      <c r="I30" s="111">
        <v>44718</v>
      </c>
      <c r="J30" s="112">
        <v>2376</v>
      </c>
      <c r="L30" s="110" t="s">
        <v>564</v>
      </c>
      <c r="M30" s="110" t="s">
        <v>307</v>
      </c>
      <c r="N30" s="111">
        <v>44718</v>
      </c>
      <c r="O30" s="112">
        <v>2376</v>
      </c>
    </row>
    <row r="31" spans="2:15" x14ac:dyDescent="0.3">
      <c r="B31" s="110" t="s">
        <v>562</v>
      </c>
      <c r="C31" s="110" t="s">
        <v>565</v>
      </c>
      <c r="D31" s="111">
        <v>44689</v>
      </c>
      <c r="E31" s="112">
        <v>2982</v>
      </c>
      <c r="G31" s="110" t="s">
        <v>562</v>
      </c>
      <c r="H31" s="110" t="s">
        <v>565</v>
      </c>
      <c r="I31" s="111">
        <v>44689</v>
      </c>
      <c r="J31" s="112">
        <v>2982</v>
      </c>
      <c r="L31" s="110" t="s">
        <v>562</v>
      </c>
      <c r="M31" s="110" t="s">
        <v>565</v>
      </c>
      <c r="N31" s="111">
        <v>44689</v>
      </c>
      <c r="O31" s="112">
        <v>2982</v>
      </c>
    </row>
    <row r="32" spans="2:15" x14ac:dyDescent="0.3">
      <c r="B32" s="110" t="s">
        <v>562</v>
      </c>
      <c r="C32" s="110" t="s">
        <v>307</v>
      </c>
      <c r="D32" s="111">
        <v>44271</v>
      </c>
      <c r="E32" s="112">
        <v>4786</v>
      </c>
      <c r="G32" s="110" t="s">
        <v>562</v>
      </c>
      <c r="H32" s="110" t="s">
        <v>307</v>
      </c>
      <c r="I32" s="111">
        <v>44271</v>
      </c>
      <c r="J32" s="112">
        <v>4786</v>
      </c>
      <c r="L32" s="110" t="s">
        <v>562</v>
      </c>
      <c r="M32" s="110" t="s">
        <v>307</v>
      </c>
      <c r="N32" s="111">
        <v>44271</v>
      </c>
      <c r="O32" s="112">
        <v>4786</v>
      </c>
    </row>
    <row r="33" spans="2:15" x14ac:dyDescent="0.3">
      <c r="B33" s="110" t="s">
        <v>562</v>
      </c>
      <c r="C33" s="110" t="s">
        <v>307</v>
      </c>
      <c r="D33" s="111">
        <v>44708</v>
      </c>
      <c r="E33" s="112">
        <v>3114</v>
      </c>
      <c r="G33" s="110" t="s">
        <v>562</v>
      </c>
      <c r="H33" s="110" t="s">
        <v>307</v>
      </c>
      <c r="I33" s="111">
        <v>44708</v>
      </c>
      <c r="J33" s="112">
        <v>3114</v>
      </c>
      <c r="L33" s="110" t="s">
        <v>562</v>
      </c>
      <c r="M33" s="110" t="s">
        <v>307</v>
      </c>
      <c r="N33" s="111">
        <v>44708</v>
      </c>
      <c r="O33" s="112">
        <v>3114</v>
      </c>
    </row>
    <row r="34" spans="2:15" x14ac:dyDescent="0.3">
      <c r="B34" s="110" t="s">
        <v>562</v>
      </c>
      <c r="C34" s="110" t="s">
        <v>565</v>
      </c>
      <c r="D34" s="111">
        <v>44617</v>
      </c>
      <c r="E34" s="112">
        <v>3074</v>
      </c>
      <c r="G34" s="110" t="s">
        <v>562</v>
      </c>
      <c r="H34" s="110" t="s">
        <v>565</v>
      </c>
      <c r="I34" s="111">
        <v>44617</v>
      </c>
      <c r="J34" s="112">
        <v>3074</v>
      </c>
      <c r="L34" s="110" t="s">
        <v>562</v>
      </c>
      <c r="M34" s="110" t="s">
        <v>565</v>
      </c>
      <c r="N34" s="111">
        <v>44617</v>
      </c>
      <c r="O34" s="112">
        <v>3074</v>
      </c>
    </row>
    <row r="35" spans="2:15" x14ac:dyDescent="0.3">
      <c r="B35" s="110" t="s">
        <v>564</v>
      </c>
      <c r="C35" s="110" t="s">
        <v>307</v>
      </c>
      <c r="D35" s="111">
        <v>44665</v>
      </c>
      <c r="E35" s="112">
        <v>4573</v>
      </c>
      <c r="G35" s="110" t="s">
        <v>564</v>
      </c>
      <c r="H35" s="110" t="s">
        <v>307</v>
      </c>
      <c r="I35" s="111">
        <v>44665</v>
      </c>
      <c r="J35" s="112">
        <v>4573</v>
      </c>
      <c r="L35" s="110" t="s">
        <v>564</v>
      </c>
      <c r="M35" s="110" t="s">
        <v>307</v>
      </c>
      <c r="N35" s="111">
        <v>44665</v>
      </c>
      <c r="O35" s="112">
        <v>4573</v>
      </c>
    </row>
    <row r="36" spans="2:15" x14ac:dyDescent="0.3">
      <c r="B36" s="110" t="s">
        <v>567</v>
      </c>
      <c r="C36" s="110" t="s">
        <v>563</v>
      </c>
      <c r="D36" s="111">
        <v>44748</v>
      </c>
      <c r="E36" s="112">
        <v>1419</v>
      </c>
      <c r="G36" s="110" t="s">
        <v>567</v>
      </c>
      <c r="H36" s="110" t="s">
        <v>563</v>
      </c>
      <c r="I36" s="111">
        <v>44748</v>
      </c>
      <c r="J36" s="112">
        <v>1419</v>
      </c>
      <c r="L36" s="110" t="s">
        <v>567</v>
      </c>
      <c r="M36" s="110" t="s">
        <v>563</v>
      </c>
      <c r="N36" s="111">
        <v>44748</v>
      </c>
      <c r="O36" s="112">
        <v>1419</v>
      </c>
    </row>
    <row r="37" spans="2:15" x14ac:dyDescent="0.3">
      <c r="B37" s="110" t="s">
        <v>562</v>
      </c>
      <c r="C37" s="110" t="s">
        <v>563</v>
      </c>
      <c r="D37" s="111">
        <v>44603</v>
      </c>
      <c r="E37" s="112">
        <v>3319</v>
      </c>
      <c r="G37" s="110" t="s">
        <v>562</v>
      </c>
      <c r="H37" s="110" t="s">
        <v>563</v>
      </c>
      <c r="I37" s="111">
        <v>44603</v>
      </c>
      <c r="J37" s="112">
        <v>3319</v>
      </c>
      <c r="L37" s="110" t="s">
        <v>562</v>
      </c>
      <c r="M37" s="110" t="s">
        <v>563</v>
      </c>
      <c r="N37" s="111">
        <v>44603</v>
      </c>
      <c r="O37" s="112">
        <v>3319</v>
      </c>
    </row>
    <row r="38" spans="2:15" x14ac:dyDescent="0.3">
      <c r="B38" s="113" t="s">
        <v>566</v>
      </c>
      <c r="C38" s="113" t="s">
        <v>563</v>
      </c>
      <c r="D38" s="114">
        <v>44603</v>
      </c>
      <c r="E38" s="115">
        <v>3319</v>
      </c>
      <c r="G38" s="113" t="s">
        <v>566</v>
      </c>
      <c r="H38" s="113" t="s">
        <v>563</v>
      </c>
      <c r="I38" s="114">
        <v>44603</v>
      </c>
      <c r="J38" s="115">
        <v>3319</v>
      </c>
      <c r="L38" s="113" t="s">
        <v>566</v>
      </c>
      <c r="M38" s="113" t="s">
        <v>563</v>
      </c>
      <c r="N38" s="114">
        <v>44603</v>
      </c>
      <c r="O38" s="115">
        <v>3319</v>
      </c>
    </row>
  </sheetData>
  <dataConsolidate/>
  <phoneticPr fontId="20" type="noConversion"/>
  <conditionalFormatting sqref="D1:D38">
    <cfRule type="expression" dxfId="6" priority="3">
      <formula>TEXT(#REF!,"MMM")="MAR"</formula>
    </cfRule>
  </conditionalFormatting>
  <conditionalFormatting sqref="I1:I38">
    <cfRule type="expression" dxfId="5" priority="2">
      <formula>TEXT(#REF!,"MMM")="MAR"</formula>
    </cfRule>
  </conditionalFormatting>
  <conditionalFormatting sqref="N1:N38">
    <cfRule type="expression" dxfId="4" priority="1">
      <formula>TEXT(#REF!,"MMM")="MAR"</formula>
    </cfRule>
  </conditionalFormatting>
  <dataValidations count="3">
    <dataValidation type="list" allowBlank="1" showInputMessage="1" showErrorMessage="1" sqref="A3" xr:uid="{0ADB446E-9CC5-418E-9EAC-86BEE471DC68}">
      <formula1>"Jan,Feb,Mar,Apr,May,Jun,Jul,Aug,Sep,Oct,Nov,Dec"</formula1>
    </dataValidation>
    <dataValidation type="list" allowBlank="1" showInputMessage="1" showErrorMessage="1" sqref="F3" xr:uid="{90E2257F-96B6-4721-B7AF-185621241340}">
      <formula1>"NORTH,SOUTH,EAST,WEST"</formula1>
    </dataValidation>
    <dataValidation type="list" allowBlank="1" showInputMessage="1" showErrorMessage="1" sqref="K3" xr:uid="{758CC6EF-E450-44B8-9894-326D34C48C84}">
      <formula1>"BANGALORE,LUCKNOW,DELHI,MUMBAI"</formula1>
    </dataValidation>
  </dataValidation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7F21-ABEE-4CFC-8FF1-9787D8F400B8}">
  <dimension ref="A1:R60"/>
  <sheetViews>
    <sheetView workbookViewId="0">
      <selection activeCell="E3" sqref="E3"/>
    </sheetView>
  </sheetViews>
  <sheetFormatPr defaultRowHeight="14.4" x14ac:dyDescent="0.3"/>
  <cols>
    <col min="1" max="1" width="19.88671875" bestFit="1" customWidth="1"/>
    <col min="3" max="3" width="9.88671875" bestFit="1" customWidth="1"/>
    <col min="10" max="10" width="9.88671875" bestFit="1" customWidth="1"/>
    <col min="11" max="11" width="5" bestFit="1" customWidth="1"/>
    <col min="17" max="17" width="9.88671875" bestFit="1" customWidth="1"/>
  </cols>
  <sheetData>
    <row r="1" spans="1:18" x14ac:dyDescent="0.3">
      <c r="A1" s="110" t="s">
        <v>562</v>
      </c>
      <c r="B1" s="110" t="s">
        <v>563</v>
      </c>
      <c r="C1" s="111">
        <v>44607</v>
      </c>
      <c r="D1" s="112">
        <v>2819</v>
      </c>
      <c r="H1" s="110" t="s">
        <v>562</v>
      </c>
      <c r="I1" s="110" t="s">
        <v>563</v>
      </c>
      <c r="J1" s="111">
        <v>44607</v>
      </c>
      <c r="K1" s="112">
        <v>2819</v>
      </c>
      <c r="O1" s="110" t="s">
        <v>562</v>
      </c>
      <c r="P1" s="110" t="s">
        <v>563</v>
      </c>
      <c r="Q1" s="111">
        <v>44607</v>
      </c>
      <c r="R1" s="112">
        <v>2819</v>
      </c>
    </row>
    <row r="2" spans="1:18" x14ac:dyDescent="0.3">
      <c r="A2" s="110" t="s">
        <v>564</v>
      </c>
      <c r="B2" s="110" t="s">
        <v>565</v>
      </c>
      <c r="C2" s="111">
        <v>44278</v>
      </c>
      <c r="D2" s="112">
        <v>3878</v>
      </c>
      <c r="H2" s="110" t="s">
        <v>564</v>
      </c>
      <c r="I2" s="110" t="s">
        <v>565</v>
      </c>
      <c r="J2" s="111">
        <v>44278</v>
      </c>
      <c r="K2" s="112">
        <v>3878</v>
      </c>
      <c r="O2" s="110" t="s">
        <v>564</v>
      </c>
      <c r="P2" s="110" t="s">
        <v>565</v>
      </c>
      <c r="Q2" s="111">
        <v>44278</v>
      </c>
      <c r="R2" s="112">
        <v>3878</v>
      </c>
    </row>
    <row r="3" spans="1:18" x14ac:dyDescent="0.3">
      <c r="A3" s="110" t="s">
        <v>566</v>
      </c>
      <c r="B3" s="110" t="s">
        <v>307</v>
      </c>
      <c r="C3" s="111">
        <v>44568</v>
      </c>
      <c r="D3" s="112">
        <v>1249</v>
      </c>
      <c r="H3" s="110" t="s">
        <v>566</v>
      </c>
      <c r="I3" s="110" t="s">
        <v>307</v>
      </c>
      <c r="J3" s="111">
        <v>44568</v>
      </c>
      <c r="K3" s="112">
        <v>1249</v>
      </c>
      <c r="O3" s="110" t="s">
        <v>566</v>
      </c>
      <c r="P3" s="110" t="s">
        <v>307</v>
      </c>
      <c r="Q3" s="111">
        <v>44568</v>
      </c>
      <c r="R3" s="112">
        <v>1249</v>
      </c>
    </row>
    <row r="4" spans="1:18" x14ac:dyDescent="0.3">
      <c r="A4" s="110" t="s">
        <v>567</v>
      </c>
      <c r="B4" s="110" t="s">
        <v>307</v>
      </c>
      <c r="C4" s="111">
        <v>44418</v>
      </c>
      <c r="D4" s="112">
        <v>2580</v>
      </c>
      <c r="H4" s="110" t="s">
        <v>567</v>
      </c>
      <c r="I4" s="110" t="s">
        <v>307</v>
      </c>
      <c r="J4" s="111">
        <v>44418</v>
      </c>
      <c r="K4" s="112">
        <v>2580</v>
      </c>
      <c r="O4" s="110" t="s">
        <v>567</v>
      </c>
      <c r="P4" s="110" t="s">
        <v>307</v>
      </c>
      <c r="Q4" s="111">
        <v>44418</v>
      </c>
      <c r="R4" s="112">
        <v>2580</v>
      </c>
    </row>
    <row r="5" spans="1:18" x14ac:dyDescent="0.3">
      <c r="A5" s="110" t="s">
        <v>562</v>
      </c>
      <c r="B5" s="110" t="s">
        <v>307</v>
      </c>
      <c r="C5" s="111">
        <v>44543</v>
      </c>
      <c r="D5" s="112">
        <v>2743</v>
      </c>
      <c r="H5" s="110" t="s">
        <v>562</v>
      </c>
      <c r="I5" s="110" t="s">
        <v>307</v>
      </c>
      <c r="J5" s="111">
        <v>44543</v>
      </c>
      <c r="K5" s="112">
        <v>2743</v>
      </c>
      <c r="O5" s="110" t="s">
        <v>562</v>
      </c>
      <c r="P5" s="110" t="s">
        <v>307</v>
      </c>
      <c r="Q5" s="111">
        <v>44543</v>
      </c>
      <c r="R5" s="112">
        <v>2743</v>
      </c>
    </row>
    <row r="6" spans="1:18" x14ac:dyDescent="0.3">
      <c r="A6" s="110" t="s">
        <v>564</v>
      </c>
      <c r="B6" s="110" t="s">
        <v>307</v>
      </c>
      <c r="C6" s="111">
        <v>44531</v>
      </c>
      <c r="D6" s="112">
        <v>1329</v>
      </c>
      <c r="H6" s="110" t="s">
        <v>564</v>
      </c>
      <c r="I6" s="110" t="s">
        <v>307</v>
      </c>
      <c r="J6" s="111">
        <v>44531</v>
      </c>
      <c r="K6" s="112">
        <v>1329</v>
      </c>
      <c r="O6" s="110" t="s">
        <v>564</v>
      </c>
      <c r="P6" s="110" t="s">
        <v>307</v>
      </c>
      <c r="Q6" s="111">
        <v>44531</v>
      </c>
      <c r="R6" s="112">
        <v>1329</v>
      </c>
    </row>
    <row r="7" spans="1:18" x14ac:dyDescent="0.3">
      <c r="A7" s="110" t="s">
        <v>564</v>
      </c>
      <c r="B7" s="110" t="s">
        <v>568</v>
      </c>
      <c r="C7" s="111">
        <v>44475</v>
      </c>
      <c r="D7" s="112">
        <v>2331</v>
      </c>
      <c r="F7" s="118" t="s">
        <v>569</v>
      </c>
      <c r="H7" s="110" t="s">
        <v>564</v>
      </c>
      <c r="I7" s="110" t="s">
        <v>568</v>
      </c>
      <c r="J7" s="111">
        <v>44475</v>
      </c>
      <c r="K7" s="112">
        <v>2331</v>
      </c>
      <c r="M7" s="118" t="s">
        <v>562</v>
      </c>
      <c r="O7" s="110" t="s">
        <v>564</v>
      </c>
      <c r="P7" s="110" t="s">
        <v>568</v>
      </c>
      <c r="Q7" s="111">
        <v>44475</v>
      </c>
      <c r="R7" s="112">
        <v>2331</v>
      </c>
    </row>
    <row r="8" spans="1:18" x14ac:dyDescent="0.3">
      <c r="A8" s="110" t="s">
        <v>564</v>
      </c>
      <c r="B8" s="110" t="s">
        <v>307</v>
      </c>
      <c r="C8" s="111">
        <v>44432</v>
      </c>
      <c r="D8" s="112">
        <v>3368</v>
      </c>
      <c r="F8" s="120" t="s">
        <v>570</v>
      </c>
      <c r="H8" s="110" t="s">
        <v>564</v>
      </c>
      <c r="I8" s="110" t="s">
        <v>307</v>
      </c>
      <c r="J8" s="111">
        <v>44432</v>
      </c>
      <c r="K8" s="112">
        <v>3368</v>
      </c>
      <c r="M8" s="120" t="s">
        <v>564</v>
      </c>
      <c r="O8" s="110" t="s">
        <v>564</v>
      </c>
      <c r="P8" s="110" t="s">
        <v>307</v>
      </c>
      <c r="Q8" s="111">
        <v>44432</v>
      </c>
      <c r="R8" s="112">
        <v>3368</v>
      </c>
    </row>
    <row r="9" spans="1:18" x14ac:dyDescent="0.3">
      <c r="A9" s="110" t="s">
        <v>564</v>
      </c>
      <c r="B9" s="110" t="s">
        <v>565</v>
      </c>
      <c r="C9" s="111">
        <v>44679</v>
      </c>
      <c r="D9" s="112">
        <v>1900</v>
      </c>
      <c r="F9" s="119" t="s">
        <v>571</v>
      </c>
      <c r="H9" s="110" t="s">
        <v>564</v>
      </c>
      <c r="I9" s="110" t="s">
        <v>565</v>
      </c>
      <c r="J9" s="111">
        <v>44679</v>
      </c>
      <c r="K9" s="112">
        <v>1900</v>
      </c>
      <c r="M9" s="119" t="s">
        <v>567</v>
      </c>
      <c r="O9" s="110" t="s">
        <v>564</v>
      </c>
      <c r="P9" s="110" t="s">
        <v>565</v>
      </c>
      <c r="Q9" s="111">
        <v>44679</v>
      </c>
      <c r="R9" s="112">
        <v>1900</v>
      </c>
    </row>
    <row r="10" spans="1:18" x14ac:dyDescent="0.3">
      <c r="A10" s="110" t="s">
        <v>566</v>
      </c>
      <c r="B10" s="110" t="s">
        <v>307</v>
      </c>
      <c r="C10" s="111">
        <v>44277</v>
      </c>
      <c r="D10" s="112">
        <v>4846</v>
      </c>
      <c r="F10" s="121" t="s">
        <v>572</v>
      </c>
      <c r="H10" s="110" t="s">
        <v>566</v>
      </c>
      <c r="I10" s="110" t="s">
        <v>307</v>
      </c>
      <c r="J10" s="111">
        <v>44277</v>
      </c>
      <c r="K10" s="112">
        <v>4846</v>
      </c>
      <c r="M10" s="121" t="s">
        <v>566</v>
      </c>
      <c r="O10" s="110" t="s">
        <v>566</v>
      </c>
      <c r="P10" s="110" t="s">
        <v>307</v>
      </c>
      <c r="Q10" s="111">
        <v>44277</v>
      </c>
      <c r="R10" s="112">
        <v>4846</v>
      </c>
    </row>
    <row r="11" spans="1:18" x14ac:dyDescent="0.3">
      <c r="A11" s="110" t="s">
        <v>562</v>
      </c>
      <c r="B11" s="110" t="s">
        <v>568</v>
      </c>
      <c r="C11" s="111">
        <v>44503</v>
      </c>
      <c r="D11" s="112">
        <v>2811</v>
      </c>
      <c r="H11" s="110" t="s">
        <v>562</v>
      </c>
      <c r="I11" s="110" t="s">
        <v>568</v>
      </c>
      <c r="J11" s="111">
        <v>44503</v>
      </c>
      <c r="K11" s="112">
        <v>2811</v>
      </c>
      <c r="O11" s="110" t="s">
        <v>562</v>
      </c>
      <c r="P11" s="110" t="s">
        <v>568</v>
      </c>
      <c r="Q11" s="111">
        <v>44503</v>
      </c>
      <c r="R11" s="112">
        <v>2811</v>
      </c>
    </row>
    <row r="12" spans="1:18" x14ac:dyDescent="0.3">
      <c r="A12" s="110" t="s">
        <v>562</v>
      </c>
      <c r="B12" s="110" t="s">
        <v>565</v>
      </c>
      <c r="C12" s="111">
        <v>44658</v>
      </c>
      <c r="D12" s="112">
        <v>3792</v>
      </c>
      <c r="H12" s="110" t="s">
        <v>562</v>
      </c>
      <c r="I12" s="110" t="s">
        <v>565</v>
      </c>
      <c r="J12" s="111">
        <v>44658</v>
      </c>
      <c r="K12" s="112">
        <v>3792</v>
      </c>
      <c r="O12" s="110" t="s">
        <v>562</v>
      </c>
      <c r="P12" s="110" t="s">
        <v>565</v>
      </c>
      <c r="Q12" s="111">
        <v>44658</v>
      </c>
      <c r="R12" s="112">
        <v>3792</v>
      </c>
    </row>
    <row r="13" spans="1:18" x14ac:dyDescent="0.3">
      <c r="A13" s="110" t="s">
        <v>566</v>
      </c>
      <c r="B13" s="110" t="s">
        <v>307</v>
      </c>
      <c r="C13" s="111">
        <v>44393</v>
      </c>
      <c r="D13" s="112">
        <v>4477</v>
      </c>
      <c r="H13" s="110" t="s">
        <v>566</v>
      </c>
      <c r="I13" s="110" t="s">
        <v>307</v>
      </c>
      <c r="J13" s="111">
        <v>44393</v>
      </c>
      <c r="K13" s="112">
        <v>4477</v>
      </c>
      <c r="O13" s="110" t="s">
        <v>566</v>
      </c>
      <c r="P13" s="110" t="s">
        <v>307</v>
      </c>
      <c r="Q13" s="111">
        <v>44393</v>
      </c>
      <c r="R13" s="112">
        <v>4477</v>
      </c>
    </row>
    <row r="14" spans="1:18" x14ac:dyDescent="0.3">
      <c r="A14" s="110" t="s">
        <v>566</v>
      </c>
      <c r="B14" s="110" t="s">
        <v>568</v>
      </c>
      <c r="C14" s="111">
        <v>44353</v>
      </c>
      <c r="D14" s="112">
        <v>4346</v>
      </c>
      <c r="H14" s="110" t="s">
        <v>566</v>
      </c>
      <c r="I14" s="110" t="s">
        <v>568</v>
      </c>
      <c r="J14" s="111">
        <v>44353</v>
      </c>
      <c r="K14" s="112">
        <v>4346</v>
      </c>
      <c r="O14" s="110" t="s">
        <v>566</v>
      </c>
      <c r="P14" s="110" t="s">
        <v>568</v>
      </c>
      <c r="Q14" s="111">
        <v>44353</v>
      </c>
      <c r="R14" s="112">
        <v>4346</v>
      </c>
    </row>
    <row r="15" spans="1:18" x14ac:dyDescent="0.3">
      <c r="A15" s="110" t="s">
        <v>564</v>
      </c>
      <c r="B15" s="110" t="s">
        <v>568</v>
      </c>
      <c r="C15" s="111">
        <v>44265</v>
      </c>
      <c r="D15" s="112">
        <v>1321</v>
      </c>
      <c r="H15" s="110" t="s">
        <v>564</v>
      </c>
      <c r="I15" s="110" t="s">
        <v>568</v>
      </c>
      <c r="J15" s="111">
        <v>44265</v>
      </c>
      <c r="K15" s="112">
        <v>1321</v>
      </c>
      <c r="O15" s="110" t="s">
        <v>564</v>
      </c>
      <c r="P15" s="110" t="s">
        <v>568</v>
      </c>
      <c r="Q15" s="111">
        <v>44265</v>
      </c>
      <c r="R15" s="112">
        <v>1321</v>
      </c>
    </row>
    <row r="16" spans="1:18" x14ac:dyDescent="0.3">
      <c r="A16" s="110" t="s">
        <v>567</v>
      </c>
      <c r="B16" s="110" t="s">
        <v>568</v>
      </c>
      <c r="C16" s="111">
        <v>44660</v>
      </c>
      <c r="D16" s="112">
        <v>3072</v>
      </c>
      <c r="H16" s="110" t="s">
        <v>567</v>
      </c>
      <c r="I16" s="110" t="s">
        <v>568</v>
      </c>
      <c r="J16" s="111">
        <v>44660</v>
      </c>
      <c r="K16" s="112">
        <v>3072</v>
      </c>
      <c r="O16" s="110" t="s">
        <v>567</v>
      </c>
      <c r="P16" s="110" t="s">
        <v>568</v>
      </c>
      <c r="Q16" s="111">
        <v>44660</v>
      </c>
      <c r="R16" s="112">
        <v>3072</v>
      </c>
    </row>
    <row r="17" spans="1:18" x14ac:dyDescent="0.3">
      <c r="A17" s="110" t="s">
        <v>562</v>
      </c>
      <c r="B17" s="110" t="s">
        <v>563</v>
      </c>
      <c r="C17" s="111">
        <v>44479</v>
      </c>
      <c r="D17" s="112">
        <v>3011</v>
      </c>
      <c r="H17" s="110" t="s">
        <v>562</v>
      </c>
      <c r="I17" s="110" t="s">
        <v>563</v>
      </c>
      <c r="J17" s="111">
        <v>44479</v>
      </c>
      <c r="K17" s="112">
        <v>3011</v>
      </c>
      <c r="O17" s="110" t="s">
        <v>562</v>
      </c>
      <c r="P17" s="110" t="s">
        <v>563</v>
      </c>
      <c r="Q17" s="111">
        <v>44479</v>
      </c>
      <c r="R17" s="112">
        <v>3011</v>
      </c>
    </row>
    <row r="18" spans="1:18" x14ac:dyDescent="0.3">
      <c r="A18" s="110" t="s">
        <v>566</v>
      </c>
      <c r="B18" s="110" t="s">
        <v>565</v>
      </c>
      <c r="C18" s="111">
        <v>44747</v>
      </c>
      <c r="D18" s="112">
        <v>2950</v>
      </c>
      <c r="H18" s="110" t="s">
        <v>566</v>
      </c>
      <c r="I18" s="110" t="s">
        <v>565</v>
      </c>
      <c r="J18" s="111">
        <v>44747</v>
      </c>
      <c r="K18" s="112">
        <v>2950</v>
      </c>
      <c r="O18" s="110" t="s">
        <v>566</v>
      </c>
      <c r="P18" s="110" t="s">
        <v>565</v>
      </c>
      <c r="Q18" s="111">
        <v>44747</v>
      </c>
      <c r="R18" s="112">
        <v>2950</v>
      </c>
    </row>
    <row r="19" spans="1:18" x14ac:dyDescent="0.3">
      <c r="A19" s="110" t="s">
        <v>562</v>
      </c>
      <c r="B19" s="110" t="s">
        <v>563</v>
      </c>
      <c r="C19" s="111">
        <v>44715</v>
      </c>
      <c r="D19" s="112">
        <v>1682</v>
      </c>
      <c r="H19" s="110" t="s">
        <v>562</v>
      </c>
      <c r="I19" s="110" t="s">
        <v>563</v>
      </c>
      <c r="J19" s="111">
        <v>44715</v>
      </c>
      <c r="K19" s="112">
        <v>1682</v>
      </c>
      <c r="O19" s="110" t="s">
        <v>562</v>
      </c>
      <c r="P19" s="110" t="s">
        <v>563</v>
      </c>
      <c r="Q19" s="111">
        <v>44715</v>
      </c>
      <c r="R19" s="112">
        <v>1682</v>
      </c>
    </row>
    <row r="20" spans="1:18" x14ac:dyDescent="0.3">
      <c r="A20" s="110" t="s">
        <v>562</v>
      </c>
      <c r="B20" s="110" t="s">
        <v>565</v>
      </c>
      <c r="C20" s="111">
        <v>44401</v>
      </c>
      <c r="D20" s="112">
        <v>1640</v>
      </c>
      <c r="H20" s="110" t="s">
        <v>562</v>
      </c>
      <c r="I20" s="110" t="s">
        <v>565</v>
      </c>
      <c r="J20" s="111">
        <v>44401</v>
      </c>
      <c r="K20" s="112">
        <v>1640</v>
      </c>
      <c r="O20" s="110" t="s">
        <v>562</v>
      </c>
      <c r="P20" s="110" t="s">
        <v>565</v>
      </c>
      <c r="Q20" s="111">
        <v>44401</v>
      </c>
      <c r="R20" s="112">
        <v>1640</v>
      </c>
    </row>
    <row r="21" spans="1:18" x14ac:dyDescent="0.3">
      <c r="A21" s="110" t="s">
        <v>562</v>
      </c>
      <c r="B21" s="110" t="s">
        <v>307</v>
      </c>
      <c r="C21" s="111">
        <v>44277</v>
      </c>
      <c r="D21" s="112">
        <v>2063</v>
      </c>
      <c r="H21" s="110" t="s">
        <v>562</v>
      </c>
      <c r="I21" s="110" t="s">
        <v>307</v>
      </c>
      <c r="J21" s="111">
        <v>44277</v>
      </c>
      <c r="K21" s="112">
        <v>2063</v>
      </c>
      <c r="O21" s="110" t="s">
        <v>562</v>
      </c>
      <c r="P21" s="110" t="s">
        <v>307</v>
      </c>
      <c r="Q21" s="111">
        <v>44277</v>
      </c>
      <c r="R21" s="112">
        <v>2063</v>
      </c>
    </row>
    <row r="22" spans="1:18" x14ac:dyDescent="0.3">
      <c r="A22" s="110" t="s">
        <v>567</v>
      </c>
      <c r="B22" s="110" t="s">
        <v>568</v>
      </c>
      <c r="C22" s="111">
        <v>44708</v>
      </c>
      <c r="D22" s="112">
        <v>3033</v>
      </c>
      <c r="H22" s="110" t="s">
        <v>567</v>
      </c>
      <c r="I22" s="110" t="s">
        <v>568</v>
      </c>
      <c r="J22" s="111">
        <v>44708</v>
      </c>
      <c r="K22" s="112">
        <v>3033</v>
      </c>
      <c r="O22" s="110" t="s">
        <v>567</v>
      </c>
      <c r="P22" s="110" t="s">
        <v>568</v>
      </c>
      <c r="Q22" s="111">
        <v>44708</v>
      </c>
      <c r="R22" s="112">
        <v>3033</v>
      </c>
    </row>
    <row r="23" spans="1:18" x14ac:dyDescent="0.3">
      <c r="A23" s="110" t="s">
        <v>566</v>
      </c>
      <c r="B23" s="110" t="s">
        <v>568</v>
      </c>
      <c r="C23" s="111">
        <v>44457</v>
      </c>
      <c r="D23" s="112">
        <v>4722</v>
      </c>
      <c r="H23" s="110" t="s">
        <v>566</v>
      </c>
      <c r="I23" s="110" t="s">
        <v>568</v>
      </c>
      <c r="J23" s="111">
        <v>44457</v>
      </c>
      <c r="K23" s="112">
        <v>4722</v>
      </c>
      <c r="O23" s="110" t="s">
        <v>566</v>
      </c>
      <c r="P23" s="110" t="s">
        <v>568</v>
      </c>
      <c r="Q23" s="111">
        <v>44457</v>
      </c>
      <c r="R23" s="112">
        <v>4722</v>
      </c>
    </row>
    <row r="24" spans="1:18" x14ac:dyDescent="0.3">
      <c r="A24" s="110" t="s">
        <v>566</v>
      </c>
      <c r="B24" s="110" t="s">
        <v>563</v>
      </c>
      <c r="C24" s="111">
        <v>44515</v>
      </c>
      <c r="D24" s="112">
        <v>2124</v>
      </c>
      <c r="H24" s="110" t="s">
        <v>566</v>
      </c>
      <c r="I24" s="110" t="s">
        <v>563</v>
      </c>
      <c r="J24" s="111">
        <v>44515</v>
      </c>
      <c r="K24" s="112">
        <v>2124</v>
      </c>
      <c r="O24" s="110" t="s">
        <v>566</v>
      </c>
      <c r="P24" s="110" t="s">
        <v>563</v>
      </c>
      <c r="Q24" s="111">
        <v>44515</v>
      </c>
      <c r="R24" s="112">
        <v>2124</v>
      </c>
    </row>
    <row r="25" spans="1:18" x14ac:dyDescent="0.3">
      <c r="A25" s="110" t="s">
        <v>566</v>
      </c>
      <c r="B25" s="110" t="s">
        <v>307</v>
      </c>
      <c r="C25" s="111">
        <v>44504</v>
      </c>
      <c r="D25" s="112">
        <v>2711</v>
      </c>
      <c r="H25" s="110" t="s">
        <v>566</v>
      </c>
      <c r="I25" s="110" t="s">
        <v>307</v>
      </c>
      <c r="J25" s="111">
        <v>44504</v>
      </c>
      <c r="K25" s="112">
        <v>2711</v>
      </c>
      <c r="O25" s="110" t="s">
        <v>566</v>
      </c>
      <c r="P25" s="110" t="s">
        <v>307</v>
      </c>
      <c r="Q25" s="111">
        <v>44504</v>
      </c>
      <c r="R25" s="112">
        <v>2711</v>
      </c>
    </row>
    <row r="26" spans="1:18" x14ac:dyDescent="0.3">
      <c r="A26" s="110" t="s">
        <v>562</v>
      </c>
      <c r="B26" s="110" t="s">
        <v>563</v>
      </c>
      <c r="C26" s="111">
        <v>44306</v>
      </c>
      <c r="D26" s="112">
        <v>2905</v>
      </c>
      <c r="H26" s="110" t="s">
        <v>562</v>
      </c>
      <c r="I26" s="110" t="s">
        <v>563</v>
      </c>
      <c r="J26" s="111">
        <v>44306</v>
      </c>
      <c r="K26" s="112">
        <v>2905</v>
      </c>
      <c r="O26" s="110" t="s">
        <v>562</v>
      </c>
      <c r="P26" s="110" t="s">
        <v>563</v>
      </c>
      <c r="Q26" s="111">
        <v>44306</v>
      </c>
      <c r="R26" s="112">
        <v>2905</v>
      </c>
    </row>
    <row r="27" spans="1:18" x14ac:dyDescent="0.3">
      <c r="A27" s="110" t="s">
        <v>567</v>
      </c>
      <c r="B27" s="110" t="s">
        <v>568</v>
      </c>
      <c r="C27" s="111">
        <v>44484</v>
      </c>
      <c r="D27" s="112">
        <v>1606</v>
      </c>
      <c r="H27" s="110" t="s">
        <v>567</v>
      </c>
      <c r="I27" s="110" t="s">
        <v>568</v>
      </c>
      <c r="J27" s="111">
        <v>44484</v>
      </c>
      <c r="K27" s="112">
        <v>1606</v>
      </c>
      <c r="O27" s="110" t="s">
        <v>567</v>
      </c>
      <c r="P27" s="110" t="s">
        <v>568</v>
      </c>
      <c r="Q27" s="111">
        <v>44484</v>
      </c>
      <c r="R27" s="112">
        <v>1606</v>
      </c>
    </row>
    <row r="28" spans="1:18" x14ac:dyDescent="0.3">
      <c r="A28" s="110" t="s">
        <v>564</v>
      </c>
      <c r="B28" s="110" t="s">
        <v>565</v>
      </c>
      <c r="C28" s="111">
        <v>44262</v>
      </c>
      <c r="D28" s="112">
        <v>1761</v>
      </c>
      <c r="H28" s="110" t="s">
        <v>564</v>
      </c>
      <c r="I28" s="110" t="s">
        <v>565</v>
      </c>
      <c r="J28" s="111">
        <v>44262</v>
      </c>
      <c r="K28" s="112">
        <v>1761</v>
      </c>
      <c r="O28" s="110" t="s">
        <v>564</v>
      </c>
      <c r="P28" s="110" t="s">
        <v>565</v>
      </c>
      <c r="Q28" s="111">
        <v>44262</v>
      </c>
      <c r="R28" s="112">
        <v>1761</v>
      </c>
    </row>
    <row r="29" spans="1:18" x14ac:dyDescent="0.3">
      <c r="A29" s="110" t="s">
        <v>567</v>
      </c>
      <c r="B29" s="110" t="s">
        <v>563</v>
      </c>
      <c r="C29" s="111">
        <v>44700</v>
      </c>
      <c r="D29" s="112">
        <v>1693</v>
      </c>
      <c r="H29" s="110" t="s">
        <v>567</v>
      </c>
      <c r="I29" s="110" t="s">
        <v>563</v>
      </c>
      <c r="J29" s="111">
        <v>44700</v>
      </c>
      <c r="K29" s="112">
        <v>1693</v>
      </c>
      <c r="O29" s="110" t="s">
        <v>567</v>
      </c>
      <c r="P29" s="110" t="s">
        <v>563</v>
      </c>
      <c r="Q29" s="111">
        <v>44700</v>
      </c>
      <c r="R29" s="112">
        <v>1693</v>
      </c>
    </row>
    <row r="30" spans="1:18" x14ac:dyDescent="0.3">
      <c r="A30" s="110" t="s">
        <v>564</v>
      </c>
      <c r="B30" s="110" t="s">
        <v>307</v>
      </c>
      <c r="C30" s="111">
        <v>44718</v>
      </c>
      <c r="D30" s="112">
        <v>2376</v>
      </c>
      <c r="H30" s="110" t="s">
        <v>564</v>
      </c>
      <c r="I30" s="110" t="s">
        <v>307</v>
      </c>
      <c r="J30" s="111">
        <v>44718</v>
      </c>
      <c r="K30" s="112">
        <v>2376</v>
      </c>
      <c r="O30" s="110" t="s">
        <v>564</v>
      </c>
      <c r="P30" s="110" t="s">
        <v>307</v>
      </c>
      <c r="Q30" s="111">
        <v>44718</v>
      </c>
      <c r="R30" s="112">
        <v>2376</v>
      </c>
    </row>
    <row r="31" spans="1:18" x14ac:dyDescent="0.3">
      <c r="A31" s="110" t="s">
        <v>562</v>
      </c>
      <c r="B31" s="110" t="s">
        <v>565</v>
      </c>
      <c r="C31" s="111">
        <v>44689</v>
      </c>
      <c r="D31" s="112">
        <v>2982</v>
      </c>
      <c r="H31" s="110" t="s">
        <v>562</v>
      </c>
      <c r="I31" s="110" t="s">
        <v>565</v>
      </c>
      <c r="J31" s="111">
        <v>44689</v>
      </c>
      <c r="K31" s="112">
        <v>2982</v>
      </c>
      <c r="O31" s="110" t="s">
        <v>562</v>
      </c>
      <c r="P31" s="110" t="s">
        <v>565</v>
      </c>
      <c r="Q31" s="111">
        <v>44689</v>
      </c>
      <c r="R31" s="112">
        <v>2982</v>
      </c>
    </row>
    <row r="32" spans="1:18" x14ac:dyDescent="0.3">
      <c r="A32" s="110" t="s">
        <v>562</v>
      </c>
      <c r="B32" s="110" t="s">
        <v>307</v>
      </c>
      <c r="C32" s="111">
        <v>44271</v>
      </c>
      <c r="D32" s="112">
        <v>4786</v>
      </c>
      <c r="H32" s="110" t="s">
        <v>562</v>
      </c>
      <c r="I32" s="110" t="s">
        <v>307</v>
      </c>
      <c r="J32" s="111">
        <v>44271</v>
      </c>
      <c r="K32" s="112">
        <v>4786</v>
      </c>
      <c r="O32" s="110" t="s">
        <v>562</v>
      </c>
      <c r="P32" s="110" t="s">
        <v>307</v>
      </c>
      <c r="Q32" s="111">
        <v>44271</v>
      </c>
      <c r="R32" s="112">
        <v>4786</v>
      </c>
    </row>
    <row r="33" spans="1:18" x14ac:dyDescent="0.3">
      <c r="A33" s="110" t="s">
        <v>562</v>
      </c>
      <c r="B33" s="110" t="s">
        <v>307</v>
      </c>
      <c r="C33" s="111">
        <v>44708</v>
      </c>
      <c r="D33" s="112">
        <v>3114</v>
      </c>
      <c r="H33" s="110" t="s">
        <v>562</v>
      </c>
      <c r="I33" s="110" t="s">
        <v>307</v>
      </c>
      <c r="J33" s="111">
        <v>44708</v>
      </c>
      <c r="K33" s="112">
        <v>3114</v>
      </c>
      <c r="O33" s="110" t="s">
        <v>562</v>
      </c>
      <c r="P33" s="110" t="s">
        <v>307</v>
      </c>
      <c r="Q33" s="111">
        <v>44708</v>
      </c>
      <c r="R33" s="112">
        <v>3114</v>
      </c>
    </row>
    <row r="34" spans="1:18" x14ac:dyDescent="0.3">
      <c r="A34" s="110" t="s">
        <v>562</v>
      </c>
      <c r="B34" s="110" t="s">
        <v>565</v>
      </c>
      <c r="C34" s="111">
        <v>44617</v>
      </c>
      <c r="D34" s="112">
        <v>3074</v>
      </c>
      <c r="H34" s="110" t="s">
        <v>562</v>
      </c>
      <c r="I34" s="110" t="s">
        <v>565</v>
      </c>
      <c r="J34" s="111">
        <v>44617</v>
      </c>
      <c r="K34" s="112">
        <v>3074</v>
      </c>
      <c r="O34" s="110" t="s">
        <v>562</v>
      </c>
      <c r="P34" s="110" t="s">
        <v>565</v>
      </c>
      <c r="Q34" s="111">
        <v>44617</v>
      </c>
      <c r="R34" s="112">
        <v>3074</v>
      </c>
    </row>
    <row r="35" spans="1:18" x14ac:dyDescent="0.3">
      <c r="A35" s="110" t="s">
        <v>564</v>
      </c>
      <c r="B35" s="110" t="s">
        <v>307</v>
      </c>
      <c r="C35" s="111">
        <v>44665</v>
      </c>
      <c r="D35" s="112">
        <v>4573</v>
      </c>
      <c r="H35" s="110" t="s">
        <v>564</v>
      </c>
      <c r="I35" s="110" t="s">
        <v>307</v>
      </c>
      <c r="J35" s="111">
        <v>44665</v>
      </c>
      <c r="K35" s="112">
        <v>4573</v>
      </c>
      <c r="O35" s="110" t="s">
        <v>564</v>
      </c>
      <c r="P35" s="110" t="s">
        <v>307</v>
      </c>
      <c r="Q35" s="111">
        <v>44665</v>
      </c>
      <c r="R35" s="112">
        <v>4573</v>
      </c>
    </row>
    <row r="36" spans="1:18" x14ac:dyDescent="0.3">
      <c r="A36" s="110" t="s">
        <v>567</v>
      </c>
      <c r="B36" s="110" t="s">
        <v>563</v>
      </c>
      <c r="C36" s="111">
        <v>44748</v>
      </c>
      <c r="D36" s="112">
        <v>1419</v>
      </c>
      <c r="H36" s="110" t="s">
        <v>567</v>
      </c>
      <c r="I36" s="110" t="s">
        <v>563</v>
      </c>
      <c r="J36" s="111">
        <v>44748</v>
      </c>
      <c r="K36" s="112">
        <v>1419</v>
      </c>
      <c r="O36" s="110" t="s">
        <v>567</v>
      </c>
      <c r="P36" s="110" t="s">
        <v>563</v>
      </c>
      <c r="Q36" s="111">
        <v>44748</v>
      </c>
      <c r="R36" s="112">
        <v>1419</v>
      </c>
    </row>
    <row r="37" spans="1:18" x14ac:dyDescent="0.3">
      <c r="A37" s="110" t="s">
        <v>562</v>
      </c>
      <c r="B37" s="110" t="s">
        <v>563</v>
      </c>
      <c r="C37" s="111">
        <v>44603</v>
      </c>
      <c r="D37" s="112">
        <v>3319</v>
      </c>
      <c r="H37" s="110" t="s">
        <v>562</v>
      </c>
      <c r="I37" s="110" t="s">
        <v>563</v>
      </c>
      <c r="J37" s="111">
        <v>44603</v>
      </c>
      <c r="K37" s="112">
        <v>3319</v>
      </c>
      <c r="O37" s="110" t="s">
        <v>562</v>
      </c>
      <c r="P37" s="110" t="s">
        <v>563</v>
      </c>
      <c r="Q37" s="111">
        <v>44603</v>
      </c>
      <c r="R37" s="112">
        <v>3319</v>
      </c>
    </row>
    <row r="38" spans="1:18" x14ac:dyDescent="0.3">
      <c r="A38" s="113" t="s">
        <v>566</v>
      </c>
      <c r="B38" s="113" t="s">
        <v>563</v>
      </c>
      <c r="C38" s="114">
        <v>44603</v>
      </c>
      <c r="D38" s="115">
        <v>3319</v>
      </c>
      <c r="H38" s="113" t="s">
        <v>566</v>
      </c>
      <c r="I38" s="113" t="s">
        <v>563</v>
      </c>
      <c r="J38" s="114">
        <v>44603</v>
      </c>
      <c r="K38" s="115">
        <v>3319</v>
      </c>
      <c r="O38" s="113" t="s">
        <v>566</v>
      </c>
      <c r="P38" s="113" t="s">
        <v>563</v>
      </c>
      <c r="Q38" s="114">
        <v>44603</v>
      </c>
      <c r="R38" s="115">
        <v>3319</v>
      </c>
    </row>
    <row r="39" spans="1:18" x14ac:dyDescent="0.3">
      <c r="F39" t="s">
        <v>504</v>
      </c>
    </row>
    <row r="40" spans="1:18" x14ac:dyDescent="0.3">
      <c r="F40" t="s">
        <v>505</v>
      </c>
    </row>
    <row r="41" spans="1:18" x14ac:dyDescent="0.3">
      <c r="F41" t="s">
        <v>506</v>
      </c>
    </row>
    <row r="42" spans="1:18" x14ac:dyDescent="0.3">
      <c r="F42" t="s">
        <v>507</v>
      </c>
    </row>
    <row r="43" spans="1:18" x14ac:dyDescent="0.3">
      <c r="F43" t="s">
        <v>508</v>
      </c>
    </row>
    <row r="44" spans="1:18" x14ac:dyDescent="0.3">
      <c r="F44" t="s">
        <v>509</v>
      </c>
    </row>
    <row r="45" spans="1:18" x14ac:dyDescent="0.3">
      <c r="F45" t="s">
        <v>510</v>
      </c>
    </row>
    <row r="46" spans="1:18" x14ac:dyDescent="0.3">
      <c r="F46" t="s">
        <v>511</v>
      </c>
    </row>
    <row r="47" spans="1:18" x14ac:dyDescent="0.3">
      <c r="F47" t="s">
        <v>512</v>
      </c>
    </row>
    <row r="48" spans="1:18" x14ac:dyDescent="0.3">
      <c r="F48" t="s">
        <v>513</v>
      </c>
    </row>
    <row r="49" spans="1:6" x14ac:dyDescent="0.3">
      <c r="A49" t="s">
        <v>515</v>
      </c>
      <c r="F49" t="s">
        <v>502</v>
      </c>
    </row>
    <row r="50" spans="1:6" x14ac:dyDescent="0.3">
      <c r="F50" t="s">
        <v>503</v>
      </c>
    </row>
    <row r="51" spans="1:6" x14ac:dyDescent="0.3">
      <c r="F51" t="s">
        <v>504</v>
      </c>
    </row>
    <row r="52" spans="1:6" x14ac:dyDescent="0.3">
      <c r="F52" t="s">
        <v>505</v>
      </c>
    </row>
    <row r="53" spans="1:6" x14ac:dyDescent="0.3">
      <c r="F53" t="s">
        <v>506</v>
      </c>
    </row>
    <row r="54" spans="1:6" x14ac:dyDescent="0.3">
      <c r="F54" t="s">
        <v>507</v>
      </c>
    </row>
    <row r="55" spans="1:6" x14ac:dyDescent="0.3">
      <c r="F55" t="s">
        <v>508</v>
      </c>
    </row>
    <row r="56" spans="1:6" x14ac:dyDescent="0.3">
      <c r="F56" t="s">
        <v>509</v>
      </c>
    </row>
    <row r="57" spans="1:6" x14ac:dyDescent="0.3">
      <c r="F57" t="s">
        <v>510</v>
      </c>
    </row>
    <row r="58" spans="1:6" x14ac:dyDescent="0.3">
      <c r="F58" t="s">
        <v>511</v>
      </c>
    </row>
    <row r="59" spans="1:6" x14ac:dyDescent="0.3">
      <c r="F59" t="s">
        <v>512</v>
      </c>
    </row>
    <row r="60" spans="1:6" x14ac:dyDescent="0.3">
      <c r="F60" t="s">
        <v>513</v>
      </c>
    </row>
  </sheetData>
  <phoneticPr fontId="20" type="noConversion"/>
  <conditionalFormatting sqref="A1:D38">
    <cfRule type="expression" dxfId="3" priority="1">
      <formula>COUNTIF($A$1:$A$1,$A$1)&gt;1</formula>
    </cfRule>
  </conditionalFormatting>
  <conditionalFormatting sqref="C1:C38">
    <cfRule type="expression" dxfId="2" priority="5">
      <formula>TEXT(#REF!,"MMM")="MAR"</formula>
    </cfRule>
  </conditionalFormatting>
  <conditionalFormatting sqref="J1:J38">
    <cfRule type="expression" dxfId="1" priority="4">
      <formula>TEXT(#REF!,"MMM")="MAR"</formula>
    </cfRule>
  </conditionalFormatting>
  <conditionalFormatting sqref="Q1:Q38">
    <cfRule type="expression" dxfId="0" priority="3">
      <formula>TEXT(#REF!,"MMM")="MAR"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PLAY WITH NAMES</vt:lpstr>
      <vt:lpstr>AVERAGE MARKS CALCULATE</vt:lpstr>
      <vt:lpstr>ALPHABET SPLIT</vt:lpstr>
      <vt:lpstr>BASE DATA</vt:lpstr>
      <vt:lpstr>STATE WISE DATA EXTRACT</vt:lpstr>
      <vt:lpstr> IPL</vt:lpstr>
      <vt:lpstr>ALPHABET COUNT</vt:lpstr>
      <vt:lpstr>UPPERCASE &amp; LOWERCASE</vt:lpstr>
      <vt:lpstr>QUOTES OF THE DAY</vt:lpstr>
      <vt:lpstr>PRODUCT WISE TOTAL SALES</vt:lpstr>
      <vt:lpstr>FREQUENCY COUNT</vt:lpstr>
      <vt:lpstr>NO CONVERSION SUM</vt:lpstr>
      <vt:lpstr>HIGHEST TO LOWERST PERCENTAGE</vt:lpstr>
      <vt:lpstr>AGGREGATE EMPLOYEE DETAILS</vt:lpstr>
      <vt:lpstr>MONTHLY LOOKUP</vt:lpstr>
      <vt:lpstr>TOP 3 SALES HEAD</vt:lpstr>
      <vt:lpstr>GET ORDER DETAILS</vt:lpstr>
      <vt:lpstr>GET DEPARTMENT</vt:lpstr>
      <vt:lpstr>SALES BETWEEN NAMES</vt:lpstr>
      <vt:lpstr>FIND MISSING NUMBERS</vt:lpstr>
      <vt:lpstr>ALPHABETICAL NAME EXTRACTION</vt:lpstr>
      <vt:lpstr>PROJECT DURATION HIGHLIGHT</vt:lpstr>
      <vt:lpstr>DYNAMIC FORMATTING </vt:lpstr>
      <vt:lpstr>COLOR COMBO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Pandey</dc:creator>
  <cp:lastModifiedBy>Arman Sharma</cp:lastModifiedBy>
  <dcterms:created xsi:type="dcterms:W3CDTF">2023-07-27T05:06:42Z</dcterms:created>
  <dcterms:modified xsi:type="dcterms:W3CDTF">2024-07-07T12:02:54Z</dcterms:modified>
</cp:coreProperties>
</file>